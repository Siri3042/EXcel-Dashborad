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G Shirisha\Downloads\"/>
    </mc:Choice>
  </mc:AlternateContent>
  <xr:revisionPtr revIDLastSave="0" documentId="13_ncr:1_{80960D34-6022-4F0B-AB47-0272CB2C65BE}" xr6:coauthVersionLast="47" xr6:coauthVersionMax="47" xr10:uidLastSave="{00000000-0000-0000-0000-000000000000}"/>
  <bookViews>
    <workbookView xWindow="-110" yWindow="-110" windowWidth="19420" windowHeight="10300" activeTab="2" xr2:uid="{26D4546B-D2A1-4444-8EAF-A6228F96F0C1}"/>
  </bookViews>
  <sheets>
    <sheet name="Pivots" sheetId="13" r:id="rId1"/>
    <sheet name="Data" sheetId="2" r:id="rId2"/>
    <sheet name="Customer Centre Report" sheetId="12" r:id="rId3"/>
    <sheet name="Assets" sheetId="4" r:id="rId4"/>
  </sheets>
  <definedNames>
    <definedName name="_xlnm._FilterDatabase" localSheetId="1" hidden="1">Data!$B$3:$H$1003</definedName>
    <definedName name="_xlcn.WorksheetConnection_excelproject.xlsxcalls1" hidden="1">calls[]</definedName>
    <definedName name="_xlcn.WorksheetConnection_excelproject.xlsxcustomers1" hidden="1">customers[]</definedName>
    <definedName name="Slicer_Representative">#N/A</definedName>
  </definedNames>
  <calcPr calcId="191029"/>
  <pivotCaches>
    <pivotCache cacheId="0" r:id="rId5"/>
    <pivotCache cacheId="1" r:id="rId6"/>
    <pivotCache cacheId="2" r:id="rId7"/>
    <pivotCache cacheId="3" r:id="rId8"/>
    <pivotCache cacheId="87" r:id="rId9"/>
    <pivotCache cacheId="90" r:id="rId10"/>
    <pivotCache cacheId="93" r:id="rId11"/>
    <pivotCache cacheId="96" r:id="rId12"/>
    <pivotCache cacheId="9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excel project.xlsx!customers"/>
          <x15:modelTable id="calls" name="calls" connection="WorksheetConnection_excel 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H68" i="13" l="1"/>
  <c r="P22" i="12"/>
  <c r="P23" i="12"/>
  <c r="Q23" i="12"/>
  <c r="R23" i="12"/>
  <c r="S23" i="12"/>
  <c r="T23" i="12"/>
  <c r="U23" i="12"/>
  <c r="V23" i="12"/>
  <c r="P24" i="12"/>
  <c r="Q24" i="12"/>
  <c r="R24" i="12"/>
  <c r="S24" i="12"/>
  <c r="T24" i="12"/>
  <c r="U24" i="12"/>
  <c r="V24" i="12"/>
  <c r="P25" i="12"/>
  <c r="Q25" i="12"/>
  <c r="R25" i="12"/>
  <c r="S25" i="12"/>
  <c r="T25" i="12"/>
  <c r="U25" i="12"/>
  <c r="V25" i="12"/>
  <c r="P26" i="12"/>
  <c r="Q26" i="12"/>
  <c r="R26" i="12"/>
  <c r="S26" i="12"/>
  <c r="T26" i="12"/>
  <c r="U26" i="12"/>
  <c r="V26" i="12"/>
  <c r="P27" i="12"/>
  <c r="P28" i="12"/>
  <c r="Q28" i="12"/>
  <c r="R28" i="12"/>
  <c r="S28" i="12"/>
  <c r="T28" i="12"/>
  <c r="U28" i="12"/>
  <c r="V28" i="12"/>
  <c r="P29" i="12"/>
  <c r="Q29" i="12"/>
  <c r="R29" i="12"/>
  <c r="S29" i="12"/>
  <c r="T29" i="12"/>
  <c r="U29" i="12"/>
  <c r="V29" i="12"/>
  <c r="P30" i="12"/>
  <c r="Q30" i="12"/>
  <c r="R30" i="12"/>
  <c r="S30" i="12"/>
  <c r="T30" i="12"/>
  <c r="U30" i="12"/>
  <c r="V30" i="12"/>
  <c r="P31" i="12"/>
  <c r="Q31" i="12"/>
  <c r="R31" i="12"/>
  <c r="S31" i="12"/>
  <c r="T31" i="12"/>
  <c r="U31" i="12"/>
  <c r="V31" i="12"/>
  <c r="P32" i="12"/>
  <c r="Q32" i="12"/>
  <c r="R32" i="12"/>
  <c r="S32" i="12"/>
  <c r="T32" i="12"/>
  <c r="U32" i="12"/>
  <c r="V32" i="12"/>
  <c r="P33" i="12"/>
  <c r="Q33" i="12"/>
  <c r="R33" i="12"/>
  <c r="S33" i="12"/>
  <c r="T33" i="12"/>
  <c r="U33" i="12"/>
  <c r="V33" i="12"/>
  <c r="P34" i="12"/>
  <c r="P35" i="12"/>
  <c r="Q35" i="12"/>
  <c r="R35" i="12"/>
  <c r="S35" i="12"/>
  <c r="T35" i="12"/>
  <c r="U35" i="12"/>
  <c r="V35" i="12"/>
  <c r="P36" i="12"/>
  <c r="Q36" i="12"/>
  <c r="R36" i="12"/>
  <c r="S36" i="12"/>
  <c r="T36" i="12"/>
  <c r="U36" i="12"/>
  <c r="V36" i="12"/>
  <c r="P37" i="12"/>
  <c r="Q37" i="12"/>
  <c r="R37" i="12"/>
  <c r="S37" i="12"/>
  <c r="T37" i="12"/>
  <c r="U37" i="12"/>
  <c r="V37" i="12"/>
  <c r="P38" i="12"/>
  <c r="Q38" i="12"/>
  <c r="R38" i="12"/>
  <c r="S38" i="12"/>
  <c r="T38" i="12"/>
  <c r="U38" i="12"/>
  <c r="V38" i="12"/>
  <c r="P39" i="12"/>
  <c r="Q39" i="12"/>
  <c r="R39" i="12"/>
  <c r="S39" i="12"/>
  <c r="T39" i="12"/>
  <c r="U39" i="12"/>
  <c r="V39" i="12"/>
  <c r="J50" i="13"/>
  <c r="H53" i="13"/>
  <c r="F57" i="13"/>
  <c r="F53" i="13"/>
  <c r="F54" i="13"/>
  <c r="G54" i="13"/>
  <c r="H54" i="13"/>
  <c r="F55" i="13"/>
  <c r="G55" i="13"/>
  <c r="H55" i="13"/>
  <c r="F56" i="13"/>
  <c r="G56" i="13"/>
  <c r="H56" i="13"/>
  <c r="G57" i="13"/>
  <c r="H57" i="13"/>
  <c r="G53" i="13"/>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54" i="13" l="1"/>
  <c r="I56" i="13"/>
  <c r="J57" i="13"/>
  <c r="I55" i="13"/>
  <c r="J56" i="13"/>
  <c r="I53" i="13"/>
  <c r="I54" i="13"/>
  <c r="J55" i="13"/>
  <c r="I57" i="13"/>
  <c r="J53"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CC3D9F-6081-4343-BDFC-5A5A8D6986A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264CD9D-92B6-426B-9E54-9193A8FFD762}" name="WorksheetConnection_excel project.xlsx!calls" type="102" refreshedVersion="8" minRefreshableVersion="5">
    <extLst>
      <ext xmlns:x15="http://schemas.microsoft.com/office/spreadsheetml/2010/11/main" uri="{DE250136-89BD-433C-8126-D09CA5730AF9}">
        <x15:connection id="calls" autoDelete="1">
          <x15:rangePr sourceName="_xlcn.WorksheetConnection_excelproject.xlsxcalls1"/>
        </x15:connection>
      </ext>
    </extLst>
  </connection>
  <connection id="3" xr16:uid="{04AED8A7-B71B-4B02-8819-7C46D939282D}" name="WorksheetConnection_excel project.xlsx!customers" type="102" refreshedVersion="8" minRefreshableVersion="5">
    <extLst>
      <ext xmlns:x15="http://schemas.microsoft.com/office/spreadsheetml/2010/11/main" uri="{DE250136-89BD-433C-8126-D09CA5730AF9}">
        <x15:connection id="customers">
          <x15:rangePr sourceName="_xlcn.WorksheetConnection_excelproject.xlsxcustomers1"/>
        </x15:connection>
      </ext>
    </extLst>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<sst xmlns="http://schemas.openxmlformats.org/spreadsheetml/2006/main" count="3165" uniqueCount="1079">
  <si>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</si>
  <si>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</si>
  <si>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</si>
  <si>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</si>
  <si>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</si>
  <si>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</si>
  <si>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</si>
  <si>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</si>
  <si>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</si>
  <si>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</si>
  <si>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</si>
  <si>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</si>
  <si>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</si>
  <si>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</si>
  <si>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</si>
  <si>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</si>
  <si>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</si>
  <si>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</si>
  <si>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</si>
  <si>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</si>
  <si>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</si>
  <si>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</si>
  <si>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</si>
  <si>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</si>
  <si>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</si>
  <si>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</si>
  <si>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</si>
  <si>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</si>
  <si>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</si>
  <si>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</si>
  <si>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</si>
  <si>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</si>
  <si>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</si>
  <si>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</si>
  <si>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</si>
  <si>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</si>
  <si>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</si>
  <si>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</si>
  <si>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</si>
  <si>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</si>
  <si>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</si>
  <si>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</si>
  <si>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</si>
  <si>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</si>
  <si>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</si>
  <si>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</si>
  <si>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</si>
  <si>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</si>
  <si>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</si>
  <si>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</si>
  <si>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</si>
  <si>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</si>
  <si>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</si>
  <si>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</si>
  <si>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</si>
  <si>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</si>
  <si>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</si>
  <si>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</si>
  <si>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</si>
  <si>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</si>
  <si>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</si>
  <si>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</si>
  <si>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</si>
  <si>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</si>
  <si>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</si>
  <si>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</si>
  <si>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</si>
  <si>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</si>
  <si>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</si>
  <si>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</si>
  <si>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</si>
  <si>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</si>
  <si>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</si>
  <si>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</si>
  <si>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</si>
  <si>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</si>
  <si>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</si>
  <si>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</si>
  <si>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</si>
  <si>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</si>
  <si>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</si>
  <si>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</si>
  <si>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</si>
  <si>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</si>
  <si>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</si>
  <si>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</si>
  <si>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</si>
  <si>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</si>
  <si>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</si>
  <si>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</si>
  <si>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</si>
  <si>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</si>
  <si>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</si>
  <si>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</si>
  <si>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</si>
  <si>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</si>
  <si>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</si>
  <si>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</si>
  <si>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</si>
  <si>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</si>
  <si>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</si>
  <si>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</si>
  <si>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</si>
  <si>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</si>
  <si>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</si>
  <si>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</si>
  <si>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</si>
  <si>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</si>
  <si>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</si>
  <si>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</si>
  <si>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</si>
  <si>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</si>
  <si>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</si>
  <si>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</si>
  <si>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</si>
  <si>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</si>
  <si>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</si>
  <si>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</si>
  <si>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</si>
  <si>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</si>
  <si>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</si>
  <si>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</si>
  <si>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</si>
  <si>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</si>
  <si>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</si>
  <si>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</si>
  <si>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</si>
  <si>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</si>
  <si>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</si>
  <si>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</si>
  <si>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</si>
  <si>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</si>
  <si>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</si>
  <si>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</si>
  <si>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</si>
  <si>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</si>
  <si>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</si>
  <si>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</si>
  <si>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</si>
  <si>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</si>
  <si>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</si>
  <si>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</si>
  <si>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</si>
  <si>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</si>
  <si>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</si>
  <si>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</si>
  <si>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</si>
  <si>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</si>
  <si>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</si>
  <si>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</si>
  <si>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</si>
  <si>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</si>
  <si>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</si>
  <si>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</si>
  <si>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</si>
  <si>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</si>
  <si>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</si>
  <si>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</si>
  <si>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</si>
  <si>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</si>
  <si>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</si>
  <si>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</si>
  <si>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</si>
  <si>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</si>
  <si>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</si>
  <si>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</si>
  <si>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</si>
  <si>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</si>
  <si>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</si>
  <si>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</si>
  <si>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</si>
  <si>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</si>
  <si>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</si>
  <si>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</si>
  <si>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</si>
  <si>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</si>
  <si>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</si>
  <si>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</si>
  <si>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</si>
  <si>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</si>
  <si>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</si>
  <si>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</si>
  <si>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</si>
  <si>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</si>
  <si>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</si>
  <si>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</si>
  <si>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</si>
  <si>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</si>
  <si>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</si>
  <si>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</si>
  <si>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</si>
  <si>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</si>
  <si>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</si>
  <si>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</si>
  <si>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</si>
  <si>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</si>
  <si>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</si>
  <si>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</si>
  <si>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</si>
  <si>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</si>
  <si>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</si>
  <si>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</si>
  <si>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</si>
  <si>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</si>
  <si>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</si>
  <si>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</si>
  <si>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</si>
  <si>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</si>
  <si>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</si>
  <si>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</si>
  <si>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</si>
  <si>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</si>
  <si>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</si>
  <si>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</si>
  <si>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</si>
  <si>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</si>
  <si>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</si>
  <si>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</si>
  <si>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</si>
  <si>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</si>
  <si>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</si>
  <si>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</si>
  <si>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</si>
  <si>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</si>
  <si>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</si>
  <si>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</si>
  <si>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</si>
  <si>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</si>
  <si>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</si>
  <si>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</si>
  <si>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</si>
  <si>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</si>
  <si>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</si>
  <si>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</si>
  <si>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</si>
  <si>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</si>
  <si>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</si>
  <si>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</si>
  <si>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</si>
  <si>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</si>
  <si>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</si>
  <si>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</si>
  <si>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</si>
  <si>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</si>
  <si>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</si>
  <si>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</si>
  <si>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</si>
  <si>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</si>
  <si>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</si>
  <si>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</si>
  <si>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</si>
  <si>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</si>
  <si>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</si>
  <si>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</si>
  <si>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</si>
  <si>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</si>
  <si>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</si>
  <si>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</si>
  <si>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</si>
  <si>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</si>
  <si>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</si>
  <si>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</si>
  <si>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</si>
  <si>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</si>
  <si>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</si>
  <si>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</si>
  <si>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</si>
  <si>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</si>
  <si>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</si>
  <si>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</si>
  <si>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</si>
  <si>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</si>
  <si>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</si>
  <si>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</si>
  <si>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</si>
  <si>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</si>
  <si>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</si>
  <si>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</si>
  <si>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</si>
  <si>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</si>
  <si>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</si>
  <si>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</si>
  <si>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</si>
  <si>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</si>
  <si>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</si>
  <si>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</si>
  <si>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</si>
  <si>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</si>
  <si>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</si>
  <si>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</si>
  <si>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</si>
  <si>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</si>
  <si>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</si>
  <si>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</si>
  <si>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</si>
  <si>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</si>
  <si>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</si>
  <si>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</si>
  <si>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</si>
  <si>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</si>
  <si>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</si>
  <si>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</si>
  <si>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</si>
  <si>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</si>
  <si>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</si>
  <si>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</si>
  <si>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</si>
  <si>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</si>
  <si>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</si>
  <si>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</si>
  <si>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</si>
  <si>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</si>
  <si>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</si>
  <si>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</si>
  <si>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</si>
  <si>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</si>
  <si>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</si>
  <si>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</si>
  <si>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</si>
  <si>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</si>
  <si>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</si>
  <si>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</si>
  <si>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</si>
  <si>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</si>
  <si>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</si>
  <si>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</si>
  <si>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</si>
  <si>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</si>
  <si>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</si>
  <si>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</si>
  <si>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</si>
  <si>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</si>
  <si>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</si>
  <si>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</si>
  <si>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</si>
  <si>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</si>
  <si>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</si>
  <si>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</si>
  <si>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</si>
  <si>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</si>
  <si>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</si>
  <si>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</si>
  <si>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</si>
  <si>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</si>
  <si>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</si>
  <si>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</si>
  <si>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</si>
  <si>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</si>
  <si>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</si>
  <si>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</si>
  <si>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</si>
  <si>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</si>
  <si>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</si>
  <si>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</si>
  <si>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</si>
  <si>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</si>
  <si>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</si>
  <si>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</si>
  <si>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</si>
  <si>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</si>
  <si>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</si>
  <si>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</si>
  <si>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</si>
  <si>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</si>
  <si>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</si>
  <si>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</si>
  <si>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</si>
  <si>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</si>
  <si>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</si>
  <si>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</si>
  <si>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</si>
  <si>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</si>
  <si>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</si>
  <si>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</si>
  <si>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</si>
  <si>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</si>
  <si>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</si>
  <si>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</si>
  <si>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</si>
  <si>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</si>
  <si>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</si>
  <si>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</si>
  <si>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</si>
  <si>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</si>
  <si>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</si>
  <si>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</si>
  <si>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</si>
  <si>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</si>
  <si>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</si>
  <si>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</si>
  <si>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</si>
  <si>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</si>
  <si>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</si>
  <si>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</si>
  <si>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</si>
  <si>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</si>
  <si>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</si>
  <si>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</si>
  <si>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</si>
  <si>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</si>
  <si>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</si>
  <si>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</si>
  <si>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</si>
  <si>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</si>
  <si>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</si>
  <si>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</si>
  <si>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</si>
  <si>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</si>
  <si>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</si>
  <si>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</si>
  <si>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</si>
  <si>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</si>
  <si>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</si>
  <si>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</si>
  <si>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</si>
  <si>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</si>
  <si>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</si>
  <si>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</si>
  <si>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</si>
  <si>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</si>
  <si>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</si>
  <si>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</si>
  <si>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</si>
  <si>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</si>
  <si>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</si>
  <si>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</si>
  <si>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</si>
  <si>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</si>
  <si>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</si>
  <si>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</si>
  <si>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</si>
  <si>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</si>
  <si>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</si>
  <si>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</si>
  <si>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</si>
  <si>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</si>
  <si>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</si>
  <si>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</si>
  <si>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</si>
  <si>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</si>
  <si>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</si>
  <si>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</si>
  <si>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</si>
  <si>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</si>
  <si>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</si>
  <si>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</si>
  <si>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</si>
  <si>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</si>
  <si>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</si>
  <si>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</si>
  <si>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</si>
  <si>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</si>
  <si>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</si>
  <si>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</si>
  <si>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</si>
  <si>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</si>
  <si>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</si>
  <si>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</si>
  <si>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</si>
  <si>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</si>
  <si>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</si>
  <si>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</si>
  <si>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</si>
  <si>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</si>
  <si>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</si>
  <si>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</si>
  <si>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</si>
  <si>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</si>
  <si>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</si>
  <si>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</si>
  <si>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</si>
  <si>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</si>
  <si>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</si>
  <si>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</si>
  <si>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</si>
  <si>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</si>
  <si>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</si>
  <si>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</si>
  <si>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</si>
  <si>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</si>
  <si>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</si>
  <si>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</si>
  <si>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</si>
  <si>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</si>
  <si>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</si>
  <si>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</si>
  <si>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</si>
  <si>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</si>
  <si>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</si>
  <si>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</si>
  <si>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</si>
  <si>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</si>
  <si>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</si>
  <si>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</si>
  <si>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</si>
  <si>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</si>
  <si>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</si>
  <si>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</si>
  <si>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</si>
  <si>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</si>
  <si>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</si>
  <si>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</si>
  <si>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</si>
  <si>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</si>
  <si>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</si>
  <si>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</si>
  <si>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</si>
  <si>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</si>
  <si>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</si>
  <si>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</si>
  <si>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</si>
  <si>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</si>
  <si>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</si>
  <si>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</si>
  <si>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</si>
  <si>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</si>
  <si>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</si>
  <si>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</si>
  <si>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</si>
  <si>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</si>
  <si>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</si>
  <si>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</si>
  <si>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</si>
  <si>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</si>
  <si>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</si>
  <si>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</si>
  <si>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</si>
  <si>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</si>
  <si>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</si>
  <si>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</si>
  <si>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</si>
  <si>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</si>
  <si>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</si>
  <si>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</si>
  <si>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</si>
  <si>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</si>
  <si>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</si>
  <si>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</si>
  <si>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</si>
  <si>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</si>
  <si>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</si>
  <si>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</si>
  <si>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</si>
  <si>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</si>
  <si>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</si>
  <si>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</si>
  <si>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</si>
  <si>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</si>
  <si>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</si>
  <si>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</si>
  <si>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</si>
  <si>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</si>
  <si>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</si>
  <si>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</si>
  <si>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</si>
  <si>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</si>
  <si>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</si>
  <si>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</si>
  <si>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</si>
  <si>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</si>
  <si>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</si>
  <si>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</si>
  <si>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</si>
  <si>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</si>
  <si>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</si>
  <si>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</si>
  <si>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</si>
  <si>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</si>
  <si>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</si>
  <si>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</si>
  <si>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</si>
  <si>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</si>
  <si>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</si>
  <si>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</si>
  <si>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</si>
  <si>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</si>
  <si>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</si>
  <si>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</si>
  <si>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</si>
  <si>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</si>
  <si>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</si>
  <si>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</si>
  <si>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</si>
  <si>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</si>
  <si>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</si>
  <si>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</si>
  <si>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</si>
  <si>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</si>
  <si>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</si>
  <si>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</si>
  <si>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</si>
  <si>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</si>
  <si>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</si>
  <si>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</si>
  <si>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</si>
  <si>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</si>
  <si>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</si>
  <si>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</si>
  <si>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</si>
  <si>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</si>
  <si>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</si>
  <si>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</si>
  <si>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</si>
  <si>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</si>
  <si>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</si>
  <si>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</si>
  <si>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</si>
  <si>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</si>
  <si>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</si>
  <si>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</si>
  <si>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</si>
  <si>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</si>
  <si>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</si>
  <si>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</si>
  <si>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</si>
  <si>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</si>
  <si>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</si>
  <si>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</si>
  <si>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</si>
  <si>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</si>
  <si>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</si>
  <si>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</si>
  <si>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</si>
  <si>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</si>
  <si>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</si>
  <si>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</si>
  <si>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</si>
  <si>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</si>
  <si>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</si>
  <si>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</si>
  <si>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</si>
  <si>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</si>
  <si>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</si>
  <si>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</si>
  <si>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</si>
  <si>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</si>
  <si>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</si>
  <si>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</si>
  <si>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</si>
  <si>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</si>
  <si>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</si>
  <si>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</si>
  <si>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</si>
  <si>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</si>
  <si>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</si>
  <si>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</si>
  <si>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</si>
  <si>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</si>
  <si>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</si>
  <si>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</si>
  <si>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</si>
  <si>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</si>
  <si>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</si>
  <si>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</si>
  <si>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</si>
  <si>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</si>
  <si>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</si>
  <si>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</si>
  <si>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</si>
  <si>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</si>
  <si>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</si>
  <si>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</si>
  <si>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</si>
  <si>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</si>
  <si>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</si>
  <si>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</si>
  <si>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</si>
  <si>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</si>
  <si>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</si>
  <si>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</si>
  <si>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</si>
  <si>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</si>
  <si>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</si>
  <si>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</si>
  <si>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</si>
  <si>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</si>
  <si>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</si>
  <si>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</si>
  <si>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</si>
  <si>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</si>
  <si>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</si>
  <si>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</si>
  <si>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</si>
  <si>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</si>
  <si>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</si>
  <si>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</si>
  <si>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</si>
  <si>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</si>
  <si>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</si>
  <si>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</si>
  <si>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</si>
  <si>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</si>
  <si>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</si>
  <si>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</si>
  <si>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</si>
  <si>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</si>
  <si>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</si>
  <si>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</si>
  <si>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</si>
  <si>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</si>
  <si>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</si>
  <si>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</si>
  <si>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</si>
  <si>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</si>
  <si>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</si>
  <si>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</si>
  <si>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</si>
  <si>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</si>
  <si>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</si>
  <si>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</si>
  <si>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</si>
  <si>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</si>
  <si>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</si>
  <si>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</si>
  <si>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</si>
  <si>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</si>
  <si>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</si>
  <si>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</si>
  <si>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</si>
  <si>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</si>
  <si>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</si>
  <si>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</si>
  <si>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</si>
  <si>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</si>
  <si>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</si>
  <si>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</si>
  <si>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</si>
  <si>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</si>
  <si>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</si>
  <si>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</si>
  <si>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</si>
  <si>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</si>
  <si>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</si>
  <si>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</si>
  <si>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</si>
  <si>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</si>
  <si>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</si>
  <si>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</si>
  <si>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</si>
  <si>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</si>
  <si>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</si>
  <si>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</si>
  <si>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</si>
  <si>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</si>
  <si>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</si>
  <si>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</si>
  <si>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</si>
  <si>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</si>
  <si>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</si>
  <si>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</si>
  <si>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</si>
  <si>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</si>
  <si>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</si>
  <si>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</si>
  <si>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</si>
  <si>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</si>
  <si>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</si>
  <si>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</si>
  <si>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</si>
  <si>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</si>
  <si>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</si>
  <si>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</si>
  <si>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</si>
  <si>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</si>
  <si>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</si>
  <si>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</si>
  <si>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</si>
  <si>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</si>
  <si>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</si>
  <si>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</si>
  <si>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</si>
  <si>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</si>
  <si>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</si>
  <si>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</si>
  <si>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</si>
  <si>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</si>
  <si>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</si>
  <si>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</si>
  <si>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</si>
  <si>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</si>
  <si>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</si>
  <si>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</si>
  <si>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</si>
  <si>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</si>
  <si>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</si>
  <si>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</si>
  <si>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</si>
  <si>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</si>
  <si>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</si>
  <si>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</si>
  <si>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</si>
  <si>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</si>
  <si>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</si>
  <si>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</si>
  <si>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</si>
  <si>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</si>
  <si>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</si>
  <si>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</si>
  <si>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</si>
  <si>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</si>
  <si>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</si>
  <si>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</si>
  <si>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</si>
  <si>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</si>
  <si>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</si>
  <si>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</si>
  <si>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</si>
  <si>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</si>
  <si>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</si>
  <si>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</si>
  <si>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</si>
  <si>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</si>
  <si>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</si>
  <si>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</si>
  <si>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</si>
  <si>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</si>
  <si>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</si>
  <si>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</si>
  <si>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</si>
  <si>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</si>
  <si>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</si>
  <si>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</si>
  <si>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</si>
  <si>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</si>
  <si>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</si>
  <si>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</si>
  <si>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</si>
  <si>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</si>
  <si>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</si>
  <si>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</si>
  <si>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</si>
  <si>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</si>
  <si>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</si>
  <si>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</si>
  <si>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</si>
  <si>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</si>
  <si>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</si>
  <si>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</si>
  <si>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</si>
  <si>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</si>
  <si>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</si>
  <si>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</si>
  <si>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</si>
  <si>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</si>
  <si>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</si>
  <si>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</si>
  <si>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</si>
  <si>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</si>
  <si>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</si>
  <si>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</si>
  <si>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</si>
  <si>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</si>
  <si>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</si>
  <si>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</si>
  <si>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</si>
  <si>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</si>
  <si>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</si>
  <si>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</si>
  <si>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</si>
  <si>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</si>
  <si>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</si>
  <si>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</si>
  <si>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</si>
  <si>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</si>
  <si>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</si>
  <si>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</si>
  <si>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</si>
  <si>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</si>
  <si>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</si>
  <si>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</si>
  <si>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</si>
  <si>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</si>
  <si>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</si>
  <si>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</si>
  <si>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</si>
  <si>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</si>
  <si>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</si>
  <si>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</si>
  <si>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</si>
  <si>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</si>
  <si>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</si>
  <si>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</si>
  <si>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</si>
  <si>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</si>
  <si>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</si>
  <si>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</si>
  <si>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</si>
  <si>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</si>
  <si>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</si>
  <si>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</si>
  <si>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</si>
  <si>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</si>
  <si>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</si>
  <si>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</si>
  <si>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</si>
  <si>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</si>
  <si>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</si>
  <si>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</si>
  <si>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</si>
  <si>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</si>
  <si>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</si>
  <si>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</si>
  <si>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</si>
  <si>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</si>
  <si>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</si>
  <si>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</si>
  <si>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</si>
  <si>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</si>
  <si>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</si>
  <si>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</si>
  <si>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</si>
  <si>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</si>
  <si>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</si>
  <si>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</si>
  <si>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</si>
  <si>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</si>
  <si>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</si>
  <si>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</si>
  <si>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</si>
  <si>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</si>
  <si>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</si>
  <si>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</si>
  <si>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</si>
  <si>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</si>
  <si>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</si>
  <si>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</si>
  <si>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</si>
  <si>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</si>
  <si>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</si>
  <si>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</si>
  <si>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</si>
  <si>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</si>
  <si>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</si>
  <si>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</si>
  <si>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</si>
  <si>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</si>
  <si>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</si>
  <si>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</si>
  <si>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</si>
  <si>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</si>
  <si>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</si>
  <si>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</si>
  <si>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</si>
  <si>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</si>
  <si>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</si>
  <si>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</si>
  <si>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</si>
  <si>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</si>
  <si>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</si>
  <si>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</si>
  <si>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</si>
  <si>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</si>
  <si>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</si>
  <si>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</si>
  <si>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</si>
  <si>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</si>
  <si>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</si>
  <si>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</si>
  <si>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</si>
  <si>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</si>
  <si>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</si>
  <si>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</si>
  <si>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</si>
  <si>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</si>
  <si>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</si>
  <si>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</si>
  <si>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</si>
  <si>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</si>
  <si>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</si>
  <si>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</si>
  <si>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</si>
  <si>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</si>
  <si>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</si>
  <si>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</si>
  <si>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</si>
  <si>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</si>
  <si>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</si>
  <si>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</si>
  <si>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</si>
  <si>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</si>
  <si>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</si>
  <si>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</si>
  <si>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</si>
  <si>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</si>
  <si>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</si>
  <si>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</si>
  <si>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</si>
  <si>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</si>
  <si>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</si>
  <si>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</si>
  <si>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</si>
  <si>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</si>
  <si>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</si>
  <si>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</si>
  <si>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</si>
  <si>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</si>
  <si>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</si>
  <si>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</si>
  <si>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</si>
  <si>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</si>
  <si>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</si>
  <si>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</si>
  <si>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</si>
  <si>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</si>
  <si>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</si>
  <si>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</si>
  <si>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</si>
  <si>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</si>
  <si>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</si>
  <si>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</si>
  <si>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</si>
  <si>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</si>
  <si>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</si>
  <si>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</si>
  <si>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</si>
  <si>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</si>
  <si>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</si>
  <si>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</si>
  <si>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</si>
  <si>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</si>
  <si>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</si>
  <si>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</si>
  <si>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</si>
  <si>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</si>
  <si>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</si>
  <si>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</si>
  <si>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</si>
  <si>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</si>
  <si>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</si>
  <si>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</si>
  <si>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</si>
  <si>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</si>
  <si>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</si>
  <si>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</si>
  <si>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</si>
  <si>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</si>
  <si>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</si>
  <si>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</si>
  <si>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</si>
  <si>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</si>
  <si>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 xml:space="preserve"> </t>
  </si>
  <si>
    <t>Call Count</t>
  </si>
  <si>
    <t>Total Amount</t>
  </si>
  <si>
    <t>Avg. Rating</t>
  </si>
  <si>
    <t>5* Calls</t>
  </si>
  <si>
    <t xml:space="preserve"> Total Duration</t>
  </si>
  <si>
    <t>Grand Total</t>
  </si>
  <si>
    <t>Jan</t>
  </si>
  <si>
    <t>Feb</t>
  </si>
  <si>
    <t>Mar</t>
  </si>
  <si>
    <t>Apr</t>
  </si>
  <si>
    <t>May</t>
  </si>
  <si>
    <t>Jun</t>
  </si>
  <si>
    <t>Jul</t>
  </si>
  <si>
    <t>Aug</t>
  </si>
  <si>
    <t>Sep</t>
  </si>
  <si>
    <t>Oct</t>
  </si>
  <si>
    <t>Nov</t>
  </si>
  <si>
    <t>Dec</t>
  </si>
  <si>
    <t>Row Labels</t>
  </si>
  <si>
    <t>Call Count2</t>
  </si>
  <si>
    <t>Friday</t>
  </si>
  <si>
    <t>Monday</t>
  </si>
  <si>
    <t>Saturday</t>
  </si>
  <si>
    <t>Sunday</t>
  </si>
  <si>
    <t>Thursday</t>
  </si>
  <si>
    <t>Tuesday</t>
  </si>
  <si>
    <t>Wednesday</t>
  </si>
  <si>
    <t>For graph</t>
  </si>
  <si>
    <t>Rep</t>
  </si>
  <si>
    <t>Calls</t>
  </si>
  <si>
    <t>Amount</t>
  </si>
  <si>
    <t>Sel. Calls</t>
  </si>
  <si>
    <t>Sel. Amount</t>
  </si>
  <si>
    <t>Selected rep</t>
  </si>
  <si>
    <t>Column Labels</t>
  </si>
  <si>
    <t>Total</t>
  </si>
  <si>
    <t xml:space="preserve">R01 </t>
  </si>
  <si>
    <t>CALL CENTRE REPORT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</si>
</sst>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11"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1"/>
      <color theme="1"/>
      <name val="Aptos"/>
      <family val="2"/>
      <scheme val="minor"/>
    </font>
    <font>
      <sz val="10"/>
      <color theme="1"/>
      <name val="Aptos"/>
      <family val="2"/>
      <scheme val="minor"/>
    </font>
    <font>
      <sz val="10"/>
      <color theme="1"/>
      <name val="Aptos ExtraBold"/>
      <family val="2"/>
      <scheme val="major"/>
    </font>
    <font>
      <sz val="11"/>
      <color theme="1"/>
      <name val="Aptos ExtraBold"/>
      <family val="2"/>
      <scheme val="major"/>
    </font>
    <font>
      <sz val="18"/>
      <color rgb="FFFF0000"/>
      <name val="Aptos ExtraBold"/>
      <family val="2"/>
      <scheme val="major"/>
    </font>
    <font>
      <b/>
      <sz val="18"/>
      <color theme="1"/>
      <name val="Aptos ExtraBold"/>
      <family val="2"/>
      <scheme val="major"/>
    </font>
    <font>
      <sz val="18"/>
      <color theme="1"/>
      <name val="Aptos"/>
      <family val="2"/>
      <scheme val="minor"/>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4" fillId="0" borderId="0" applyFont="0" applyFill="0" applyBorder="0" applyAlignment="0" applyProtection="0"/>
  </cellStyleXfs>
  <cellXfs count="39">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0" borderId="0" xfId="0" applyAlignment="1">
      <alignment horizontal="left" indent="1"/>
    </xf>
    <xf numFmtId="0" fontId="0" fillId="3" borderId="0" xfId="0" applyFill="1" applyAlignment="1">
      <alignment horizontal="left"/>
    </xf>
    <xf numFmtId="0" fontId="5" fillId="3" borderId="0" xfId="0" applyFont="1" applyFill="1"/>
    <xf numFmtId="0" fontId="5" fillId="3" borderId="0" xfId="0" applyFont="1" applyFill="1" applyAlignment="1">
      <alignment horizontal="center"/>
    </xf>
    <xf numFmtId="168" fontId="5" fillId="3" borderId="0" xfId="0" applyNumberFormat="1" applyFont="1" applyFill="1"/>
    <xf numFmtId="0" fontId="6" fillId="3" borderId="0" xfId="0" applyFont="1" applyFill="1"/>
    <xf numFmtId="0" fontId="7" fillId="3" borderId="0" xfId="0" applyFont="1" applyFill="1" applyAlignment="1">
      <alignment horizontal="right"/>
    </xf>
    <xf numFmtId="9" fontId="0" fillId="0" borderId="0" xfId="1" applyFont="1"/>
    <xf numFmtId="0" fontId="8" fillId="3" borderId="0" xfId="0" applyFont="1" applyFill="1"/>
    <xf numFmtId="0" fontId="9" fillId="3" borderId="0" xfId="0" applyFont="1" applyFill="1" applyAlignment="1">
      <alignment horizontal="center" vertical="center"/>
    </xf>
    <xf numFmtId="0" fontId="10" fillId="3" borderId="0" xfId="0" applyFont="1" applyFill="1"/>
  </cellXfs>
  <cellStyles count="2">
    <cellStyle name="Normal" xfId="0" builtinId="0"/>
    <cellStyle name="Percent" xfId="1" builtinId="5"/>
  </cellStyles>
  <dxfs count="25">
    <dxf>
      <fill>
        <patternFill>
          <bgColor theme="8" tint="0.59996337778862885"/>
        </patternFill>
      </fill>
      <border>
        <left style="thin">
          <color theme="1" tint="0.499984740745262"/>
        </left>
        <right style="thin">
          <color theme="1" tint="0.499984740745262"/>
        </right>
        <vertical/>
        <horizontal/>
      </border>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4"/>
    </tableStyle>
    <tableStyle name="SlicerStyleLight5 2" pivot="0" table="0" count="10" xr9:uid="{B0A1324E-1438-412D-85C1-74F4B537380E}">
      <tableStyleElement type="wholeTable" dxfId="23"/>
      <tableStyleElement type="headerRow" dxfId="22"/>
    </tableStyle>
  </tableStyles>
  <colors>
    <mruColors>
      <color rgb="FFED0000"/>
      <color rgb="FFFF0000"/>
      <color rgb="FFFF66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solidFill>
                  <a:srgbClr val="FF0000"/>
                </a:solidFill>
                <a:latin typeface="+mj-lt"/>
              </a:rPr>
              <a:t>Amount</a:t>
            </a:r>
          </a:p>
        </c:rich>
      </c:tx>
      <c:layout>
        <c:manualLayout>
          <c:xMode val="edge"/>
          <c:yMode val="edge"/>
          <c:x val="8.2485926324120135E-2"/>
          <c:y val="4.26929392446633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86329812563469E-2"/>
          <c:y val="0.15830004008119675"/>
          <c:w val="0.85427340374873062"/>
          <c:h val="0.8049108516607838"/>
        </c:manualLayout>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Pivots!$H$53:$H$57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49C-4CBC-842A-2778DCBCE783}"/>
            </c:ext>
          </c:extLst>
        </c:ser>
        <c:ser>
          <c:idx val="1"/>
          <c:order val="1"/>
          <c:tx>
            <c:strRef>
              <c:f>Pivots!$J$52</c:f>
              <c:strCache>
                <c:ptCount val="1"/>
                <c:pt idx="0">
                  <c:v>Sel. Amount</c:v>
                </c:pt>
              </c:strCache>
            </c:strRef>
          </c:tx>
          <c:spPr>
            <a:gradFill>
              <a:gsLst>
                <a:gs pos="0">
                  <a:schemeClr val="accent5">
                    <a:lumMod val="40000"/>
                    <a:lumOff val="60000"/>
                  </a:schemeClr>
                </a:gs>
                <a:gs pos="100000">
                  <a:schemeClr val="accent6"/>
                </a:gs>
              </a:gsLst>
              <a:lin ang="5400000" scaled="1"/>
            </a:gradFill>
            <a:ln>
              <a:noFill/>
            </a:ln>
            <a:effectLst/>
          </c:spPr>
          <c:invertIfNegative val="0"/>
          <c:val>
            <c:numRef>
              <c:f>Pivots!$J$53:$J$57</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1-449C-4CBC-842A-2778DCBCE783}"/>
            </c:ext>
          </c:extLst>
        </c:ser>
        <c:dLbls>
          <c:showLegendKey val="0"/>
          <c:showVal val="0"/>
          <c:showCatName val="0"/>
          <c:showSerName val="0"/>
          <c:showPercent val="0"/>
          <c:showBubbleSize val="0"/>
        </c:dLbls>
        <c:gapWidth val="25"/>
        <c:overlap val="100"/>
        <c:axId val="917175967"/>
        <c:axId val="917159647"/>
      </c:barChart>
      <c:catAx>
        <c:axId val="917175967"/>
        <c:scaling>
          <c:orientation val="maxMin"/>
        </c:scaling>
        <c:delete val="1"/>
        <c:axPos val="l"/>
        <c:numFmt formatCode="General" sourceLinked="1"/>
        <c:majorTickMark val="none"/>
        <c:minorTickMark val="none"/>
        <c:tickLblPos val="nextTo"/>
        <c:crossAx val="917159647"/>
        <c:crosses val="autoZero"/>
        <c:auto val="1"/>
        <c:lblAlgn val="ctr"/>
        <c:lblOffset val="100"/>
        <c:noMultiLvlLbl val="0"/>
      </c:catAx>
      <c:valAx>
        <c:axId val="917159647"/>
        <c:scaling>
          <c:orientation val="minMax"/>
        </c:scaling>
        <c:delete val="1"/>
        <c:axPos val="t"/>
        <c:numFmt formatCode="\$#,###.0,&quot;k&quot;" sourceLinked="1"/>
        <c:majorTickMark val="none"/>
        <c:minorTickMark val="none"/>
        <c:tickLblPos val="nextTo"/>
        <c:crossAx val="91717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 Dashborad.xlsx]Pivots!weekly trend</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Pivots!$H$24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Monday</c:v>
                </c:pt>
                <c:pt idx="1">
                  <c:v>Tuesday</c:v>
                </c:pt>
                <c:pt idx="2">
                  <c:v>Wednesday</c:v>
                </c:pt>
                <c:pt idx="3">
                  <c:v>Thursday</c:v>
                </c:pt>
                <c:pt idx="4">
                  <c:v>Friday</c:v>
                </c:pt>
                <c:pt idx="5">
                  <c:v>Saturday</c:v>
                </c:pt>
                <c:pt idx="6">
                  <c:v>Sunday</c:v>
                </c:pt>
              </c:strCache>
            </c:strRef>
          </c:cat>
          <c:val>
            <c:numRef>
              <c:f>Pivots!$H$25:$H$32</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F6D3-4AC9-AA25-43EDBD9E6983}"/>
            </c:ext>
          </c:extLst>
        </c:ser>
        <c:dLbls>
          <c:showLegendKey val="0"/>
          <c:showVal val="0"/>
          <c:showCatName val="0"/>
          <c:showSerName val="0"/>
          <c:showPercent val="0"/>
          <c:showBubbleSize val="0"/>
        </c:dLbls>
        <c:gapWidth val="25"/>
        <c:axId val="918784687"/>
        <c:axId val="918785647"/>
      </c:barChart>
      <c:catAx>
        <c:axId val="9187846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785647"/>
        <c:crosses val="autoZero"/>
        <c:auto val="1"/>
        <c:lblAlgn val="ctr"/>
        <c:lblOffset val="100"/>
        <c:noMultiLvlLbl val="0"/>
      </c:catAx>
      <c:valAx>
        <c:axId val="918785647"/>
        <c:scaling>
          <c:orientation val="minMax"/>
        </c:scaling>
        <c:delete val="1"/>
        <c:axPos val="b"/>
        <c:numFmt formatCode="#,##0" sourceLinked="1"/>
        <c:majorTickMark val="none"/>
        <c:minorTickMark val="none"/>
        <c:tickLblPos val="nextTo"/>
        <c:crossAx val="91878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 Dashborad.xlsx]Pivots!monthly trend</c:name>
    <c:fmtId val="5"/>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sz="1800" b="1">
                <a:solidFill>
                  <a:schemeClr val="accent6"/>
                </a:solidFill>
              </a:rPr>
              <a:t>Call</a:t>
            </a:r>
            <a:r>
              <a:rPr lang="en-IN" sz="1800" b="1" baseline="0">
                <a:solidFill>
                  <a:schemeClr val="accent6"/>
                </a:solidFill>
              </a:rPr>
              <a:t> Trend</a:t>
            </a:r>
            <a:endParaRPr lang="en-IN" sz="1800" b="1">
              <a:solidFill>
                <a:schemeClr val="accent6"/>
              </a:solidFill>
            </a:endParaRPr>
          </a:p>
        </c:rich>
      </c:tx>
      <c:layout>
        <c:manualLayout>
          <c:xMode val="edge"/>
          <c:yMode val="edge"/>
          <c:x val="2.6504297994269337E-2"/>
          <c:y val="2.4752475247524754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20000"/>
                  <a:lumOff val="8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6">
                    <a:lumMod val="20000"/>
                    <a:lumOff val="8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C659-4B99-9C48-F792EC87095D}"/>
            </c:ext>
          </c:extLst>
        </c:ser>
        <c:dLbls>
          <c:showLegendKey val="0"/>
          <c:showVal val="0"/>
          <c:showCatName val="0"/>
          <c:showSerName val="0"/>
          <c:showPercent val="0"/>
          <c:showBubbleSize val="0"/>
        </c:dLbls>
        <c:axId val="918806287"/>
        <c:axId val="918801007"/>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C659-4B99-9C48-F792EC87095D}"/>
            </c:ext>
          </c:extLst>
        </c:ser>
        <c:dLbls>
          <c:showLegendKey val="0"/>
          <c:showVal val="0"/>
          <c:showCatName val="0"/>
          <c:showSerName val="0"/>
          <c:showPercent val="0"/>
          <c:showBubbleSize val="0"/>
        </c:dLbls>
        <c:marker val="1"/>
        <c:smooth val="0"/>
        <c:axId val="918806287"/>
        <c:axId val="918801007"/>
      </c:lineChart>
      <c:catAx>
        <c:axId val="91880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01007"/>
        <c:crosses val="autoZero"/>
        <c:auto val="1"/>
        <c:lblAlgn val="ctr"/>
        <c:lblOffset val="100"/>
        <c:noMultiLvlLbl val="0"/>
      </c:catAx>
      <c:valAx>
        <c:axId val="9188010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806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a:solidFill>
                  <a:srgbClr val="FF0000"/>
                </a:solidFill>
                <a:latin typeface="+mj-lt"/>
              </a:rPr>
              <a:t>Calls</a:t>
            </a:r>
          </a:p>
        </c:rich>
      </c:tx>
      <c:layout>
        <c:manualLayout>
          <c:xMode val="edge"/>
          <c:yMode val="edge"/>
          <c:x val="5.4989816700610997E-2"/>
          <c:y val="1.47601476014760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954920858925221"/>
          <c:y val="0.11939797193247524"/>
          <c:w val="0.80139455459633813"/>
          <c:h val="0.84214196472673386"/>
        </c:manualLayout>
      </c:layout>
      <c:barChart>
        <c:barDir val="bar"/>
        <c:grouping val="clustered"/>
        <c:varyColors val="0"/>
        <c:ser>
          <c:idx val="0"/>
          <c:order val="0"/>
          <c:spPr>
            <a:solidFill>
              <a:schemeClr val="bg1">
                <a:lumMod val="9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Pivots!$F$53:$F$57</c:f>
              <c:strCache>
                <c:ptCount val="5"/>
                <c:pt idx="0">
                  <c:v>R01</c:v>
                </c:pt>
                <c:pt idx="1">
                  <c:v>R02</c:v>
                </c:pt>
                <c:pt idx="2">
                  <c:v>R03</c:v>
                </c:pt>
                <c:pt idx="3">
                  <c:v>R04</c:v>
                </c:pt>
                <c:pt idx="4">
                  <c:v>R05</c:v>
                </c:pt>
              </c:strCache>
            </c:strRef>
          </c:cat>
          <c:val>
            <c:numRef>
              <c:f>Pivots!$G$53:$G$57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4B98-4C9C-9602-0C9CA61F27B5}"/>
            </c:ext>
          </c:extLst>
        </c:ser>
        <c:ser>
          <c:idx val="1"/>
          <c:order val="1"/>
          <c:tx>
            <c:strRef>
              <c:f>Pivots!$I$52</c:f>
              <c:strCache>
                <c:ptCount val="1"/>
                <c:pt idx="0">
                  <c:v>Sel. Calls</c:v>
                </c:pt>
              </c:strCache>
            </c:strRef>
          </c:tx>
          <c:spPr>
            <a:gradFill>
              <a:gsLst>
                <a:gs pos="0">
                  <a:schemeClr val="accent5">
                    <a:lumMod val="40000"/>
                    <a:lumOff val="60000"/>
                  </a:schemeClr>
                </a:gs>
                <a:gs pos="100000">
                  <a:schemeClr val="accent6"/>
                </a:gs>
              </a:gsLst>
              <a:lin ang="5400000" scaled="1"/>
            </a:gradFill>
            <a:ln>
              <a:noFill/>
            </a:ln>
            <a:effectLst/>
          </c:spPr>
          <c:invertIfNegative val="0"/>
          <c:val>
            <c:numRef>
              <c:f>Pivots!$I$53:$I$57</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4B98-4C9C-9602-0C9CA61F27B5}"/>
            </c:ext>
          </c:extLst>
        </c:ser>
        <c:dLbls>
          <c:showLegendKey val="0"/>
          <c:showVal val="0"/>
          <c:showCatName val="0"/>
          <c:showSerName val="0"/>
          <c:showPercent val="0"/>
          <c:showBubbleSize val="0"/>
        </c:dLbls>
        <c:gapWidth val="25"/>
        <c:overlap val="100"/>
        <c:axId val="917175967"/>
        <c:axId val="917159647"/>
      </c:barChart>
      <c:catAx>
        <c:axId val="9171759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59647"/>
        <c:crosses val="autoZero"/>
        <c:auto val="1"/>
        <c:lblAlgn val="ctr"/>
        <c:lblOffset val="100"/>
        <c:noMultiLvlLbl val="0"/>
      </c:catAx>
      <c:valAx>
        <c:axId val="917159647"/>
        <c:scaling>
          <c:orientation val="minMax"/>
          <c:min val="0"/>
        </c:scaling>
        <c:delete val="1"/>
        <c:axPos val="t"/>
        <c:numFmt formatCode="General" sourceLinked="1"/>
        <c:majorTickMark val="none"/>
        <c:minorTickMark val="none"/>
        <c:tickLblPos val="nextTo"/>
        <c:crossAx val="91717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 Dashborad.xlsx]Pivots!PivotTable1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latin typeface="+mj-lt"/>
              </a:rPr>
              <a:t>Female</a:t>
            </a:r>
            <a:r>
              <a:rPr lang="en-IN" sz="1600" b="1" baseline="0">
                <a:latin typeface="+mj-lt"/>
              </a:rPr>
              <a:t> vs. </a:t>
            </a:r>
            <a:r>
              <a:rPr lang="en-IN" sz="1600" b="1" baseline="0">
                <a:solidFill>
                  <a:schemeClr val="accent4"/>
                </a:solidFill>
                <a:latin typeface="+mj-lt"/>
              </a:rPr>
              <a:t>Male </a:t>
            </a:r>
            <a:r>
              <a:rPr lang="en-IN" sz="1600" b="1" baseline="0">
                <a:latin typeface="+mj-lt"/>
              </a:rPr>
              <a:t>Callers</a:t>
            </a:r>
            <a:endParaRPr lang="en-IN" sz="1600" b="1">
              <a:latin typeface="+mj-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Pivots!$B$77:$B$78</c:f>
              <c:strCache>
                <c:ptCount val="1"/>
                <c:pt idx="0">
                  <c:v>Female</c:v>
                </c:pt>
              </c:strCache>
            </c:strRef>
          </c:tx>
          <c:spPr>
            <a:solidFill>
              <a:schemeClr val="accent5"/>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Pivots!$B$79:$B$82</c:f>
              <c:numCache>
                <c:formatCode>#,##0</c:formatCode>
                <c:ptCount val="3"/>
                <c:pt idx="0">
                  <c:v>144</c:v>
                </c:pt>
                <c:pt idx="1">
                  <c:v>325</c:v>
                </c:pt>
                <c:pt idx="2">
                  <c:v>129</c:v>
                </c:pt>
              </c:numCache>
            </c:numRef>
          </c:val>
          <c:extLst>
            <c:ext xmlns:c16="http://schemas.microsoft.com/office/drawing/2014/chart" uri="{C3380CC4-5D6E-409C-BE32-E72D297353CC}">
              <c16:uniqueId val="{00000000-B986-49B9-88BE-16B1428D8CC7}"/>
            </c:ext>
          </c:extLst>
        </c:ser>
        <c:ser>
          <c:idx val="1"/>
          <c:order val="1"/>
          <c:tx>
            <c:strRef>
              <c:f>Pivots!$C$77:$C$78</c:f>
              <c:strCache>
                <c:ptCount val="1"/>
                <c:pt idx="0">
                  <c:v>Male</c:v>
                </c:pt>
              </c:strCache>
            </c:strRef>
          </c:tx>
          <c:spPr>
            <a:solidFill>
              <a:schemeClr val="accent4"/>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Pivots!$A$79:$A$82</c:f>
              <c:strCache>
                <c:ptCount val="3"/>
                <c:pt idx="0">
                  <c:v>Cincinnati</c:v>
                </c:pt>
                <c:pt idx="1">
                  <c:v>Cleveland</c:v>
                </c:pt>
                <c:pt idx="2">
                  <c:v>Columbus</c:v>
                </c:pt>
              </c:strCache>
            </c:strRef>
          </c:cat>
          <c:val>
            <c:numRef>
              <c:f>Pivots!$C$79:$C$82</c:f>
              <c:numCache>
                <c:formatCode>#,##0</c:formatCode>
                <c:ptCount val="3"/>
                <c:pt idx="0">
                  <c:v>132</c:v>
                </c:pt>
                <c:pt idx="1">
                  <c:v>63</c:v>
                </c:pt>
                <c:pt idx="2">
                  <c:v>206</c:v>
                </c:pt>
              </c:numCache>
            </c:numRef>
          </c:val>
          <c:extLst>
            <c:ext xmlns:c16="http://schemas.microsoft.com/office/drawing/2014/chart" uri="{C3380CC4-5D6E-409C-BE32-E72D297353CC}">
              <c16:uniqueId val="{00000001-B986-49B9-88BE-16B1428D8CC7}"/>
            </c:ext>
          </c:extLst>
        </c:ser>
        <c:dLbls>
          <c:showLegendKey val="0"/>
          <c:showVal val="0"/>
          <c:showCatName val="0"/>
          <c:showSerName val="0"/>
          <c:showPercent val="0"/>
          <c:showBubbleSize val="0"/>
        </c:dLbls>
        <c:gapWidth val="25"/>
        <c:overlap val="100"/>
        <c:axId val="1597778864"/>
        <c:axId val="1597787984"/>
      </c:barChart>
      <c:catAx>
        <c:axId val="159777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787984"/>
        <c:crosses val="autoZero"/>
        <c:auto val="1"/>
        <c:lblAlgn val="ctr"/>
        <c:lblOffset val="100"/>
        <c:noMultiLvlLbl val="0"/>
      </c:catAx>
      <c:valAx>
        <c:axId val="1597787984"/>
        <c:scaling>
          <c:orientation val="minMax"/>
        </c:scaling>
        <c:delete val="1"/>
        <c:axPos val="l"/>
        <c:numFmt formatCode="0%" sourceLinked="1"/>
        <c:majorTickMark val="none"/>
        <c:minorTickMark val="none"/>
        <c:tickLblPos val="nextTo"/>
        <c:crossAx val="1597778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 Project Dashborad.xlsx]Pivots!rep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bg2">
                    <a:lumMod val="50000"/>
                  </a:schemeClr>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Pivots!$B$89</c:f>
              <c:strCache>
                <c:ptCount val="1"/>
                <c:pt idx="0">
                  <c:v>Total</c:v>
                </c:pt>
              </c:strCache>
            </c:strRef>
          </c:tx>
          <c:spPr>
            <a:solidFill>
              <a:schemeClr val="bg2">
                <a:lumMod val="50000"/>
              </a:schemeClr>
            </a:solidFill>
            <a:ln>
              <a:noFill/>
            </a:ln>
            <a:effectLst/>
          </c:spPr>
          <c:invertIfNegative val="0"/>
          <c:cat>
            <c:strRef>
              <c:f>Pivots!$A$90:$A$95</c:f>
              <c:strCache>
                <c:ptCount val="5"/>
                <c:pt idx="0">
                  <c:v>1</c:v>
                </c:pt>
                <c:pt idx="1">
                  <c:v>2</c:v>
                </c:pt>
                <c:pt idx="2">
                  <c:v>3</c:v>
                </c:pt>
                <c:pt idx="3">
                  <c:v>4</c:v>
                </c:pt>
                <c:pt idx="4">
                  <c:v>5</c:v>
                </c:pt>
              </c:strCache>
            </c:strRef>
          </c:cat>
          <c:val>
            <c:numRef>
              <c:f>Pivots!$B$90:$B$95</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EE91-4EE6-B5DC-6A492FECF7FD}"/>
            </c:ext>
          </c:extLst>
        </c:ser>
        <c:dLbls>
          <c:showLegendKey val="0"/>
          <c:showVal val="0"/>
          <c:showCatName val="0"/>
          <c:showSerName val="0"/>
          <c:showPercent val="0"/>
          <c:showBubbleSize val="0"/>
        </c:dLbls>
        <c:gapWidth val="10"/>
        <c:overlap val="-27"/>
        <c:axId val="1811311376"/>
        <c:axId val="1811312336"/>
      </c:barChart>
      <c:catAx>
        <c:axId val="181131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12336"/>
        <c:crosses val="autoZero"/>
        <c:auto val="1"/>
        <c:lblAlgn val="ctr"/>
        <c:lblOffset val="100"/>
        <c:noMultiLvlLbl val="0"/>
      </c:catAx>
      <c:valAx>
        <c:axId val="1811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31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3.xml"/><Relationship Id="rId3" Type="http://schemas.openxmlformats.org/officeDocument/2006/relationships/image" Target="../media/image1.png"/><Relationship Id="rId7" Type="http://schemas.openxmlformats.org/officeDocument/2006/relationships/image" Target="../media/image5.png"/><Relationship Id="rId12" Type="http://schemas.openxmlformats.org/officeDocument/2006/relationships/image" Target="../media/image10.svg"/><Relationship Id="rId2" Type="http://schemas.openxmlformats.org/officeDocument/2006/relationships/chart" Target="../charts/chart2.xml"/><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4.svg"/><Relationship Id="rId11" Type="http://schemas.openxmlformats.org/officeDocument/2006/relationships/image" Target="../media/image9.png"/><Relationship Id="rId5" Type="http://schemas.openxmlformats.org/officeDocument/2006/relationships/image" Target="../media/image3.png"/><Relationship Id="rId15" Type="http://schemas.openxmlformats.org/officeDocument/2006/relationships/chart" Target="../charts/chart5.xml"/><Relationship Id="rId10" Type="http://schemas.openxmlformats.org/officeDocument/2006/relationships/image" Target="../media/image8.svg"/><Relationship Id="rId4" Type="http://schemas.openxmlformats.org/officeDocument/2006/relationships/image" Target="../media/image2.svg"/><Relationship Id="rId9" Type="http://schemas.openxmlformats.org/officeDocument/2006/relationships/image" Target="../media/image7.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6</xdr:col>
      <xdr:colOff>19050</xdr:colOff>
      <xdr:row>2</xdr:row>
      <xdr:rowOff>0</xdr:rowOff>
    </xdr:from>
    <xdr:to>
      <xdr:col>6</xdr:col>
      <xdr:colOff>1844562</xdr:colOff>
      <xdr:row>13</xdr:row>
      <xdr:rowOff>63500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31B55607-A034-7AD2-F0CE-99F9023A9E5A}"/>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572000" y="368300"/>
              <a:ext cx="1828800" cy="2089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257881</xdr:colOff>
      <xdr:row>20</xdr:row>
      <xdr:rowOff>10079</xdr:rowOff>
    </xdr:from>
    <xdr:to>
      <xdr:col>14</xdr:col>
      <xdr:colOff>614841</xdr:colOff>
      <xdr:row>39</xdr:row>
      <xdr:rowOff>50397</xdr:rowOff>
    </xdr:to>
    <mc:AlternateContent xmlns:mc="http://schemas.openxmlformats.org/markup-compatibility/2006">
      <mc:Choice xmlns:a14="http://schemas.microsoft.com/office/drawing/2010/main" Requires="a14">
        <xdr:graphicFrame macro="">
          <xdr:nvGraphicFramePr>
            <xdr:cNvPr id="13" name="Representative 1">
              <a:extLst>
                <a:ext uri="{FF2B5EF4-FFF2-40B4-BE49-F238E27FC236}">
                  <a16:creationId xmlns:a16="http://schemas.microsoft.com/office/drawing/2014/main" id="{E12CC4BE-CAA3-4200-9CA1-7043CE016119}"/>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7918198" y="3890635"/>
              <a:ext cx="1687437" cy="348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368300</xdr:colOff>
      <xdr:row>20</xdr:row>
      <xdr:rowOff>0</xdr:rowOff>
    </xdr:from>
    <xdr:to>
      <xdr:col>12</xdr:col>
      <xdr:colOff>203200</xdr:colOff>
      <xdr:row>39</xdr:row>
      <xdr:rowOff>50397</xdr:rowOff>
    </xdr:to>
    <xdr:sp macro="" textlink="">
      <xdr:nvSpPr>
        <xdr:cNvPr id="16" name="Rectangle 15">
          <a:extLst>
            <a:ext uri="{FF2B5EF4-FFF2-40B4-BE49-F238E27FC236}">
              <a16:creationId xmlns:a16="http://schemas.microsoft.com/office/drawing/2014/main" id="{2C46EAD0-DA3C-8ED1-2373-E95F739DFEA2}"/>
            </a:ext>
          </a:extLst>
        </xdr:cNvPr>
        <xdr:cNvSpPr/>
      </xdr:nvSpPr>
      <xdr:spPr>
        <a:xfrm>
          <a:off x="2706713" y="3880556"/>
          <a:ext cx="5156804" cy="3497539"/>
        </a:xfrm>
        <a:prstGeom prst="rect">
          <a:avLst/>
        </a:prstGeom>
        <a:solidFill>
          <a:schemeClr val="bg1"/>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112091</xdr:colOff>
      <xdr:row>20</xdr:row>
      <xdr:rowOff>1209</xdr:rowOff>
    </xdr:from>
    <xdr:to>
      <xdr:col>12</xdr:col>
      <xdr:colOff>206930</xdr:colOff>
      <xdr:row>39</xdr:row>
      <xdr:rowOff>50397</xdr:rowOff>
    </xdr:to>
    <xdr:graphicFrame macro="">
      <xdr:nvGraphicFramePr>
        <xdr:cNvPr id="11" name="Chart 10">
          <a:extLst>
            <a:ext uri="{FF2B5EF4-FFF2-40B4-BE49-F238E27FC236}">
              <a16:creationId xmlns:a16="http://schemas.microsoft.com/office/drawing/2014/main" id="{CB66DA68-6E36-48ED-AA0C-B8319F097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10081</xdr:colOff>
      <xdr:row>3</xdr:row>
      <xdr:rowOff>10079</xdr:rowOff>
    </xdr:from>
    <xdr:to>
      <xdr:col>13</xdr:col>
      <xdr:colOff>564444</xdr:colOff>
      <xdr:row>16</xdr:row>
      <xdr:rowOff>171349</xdr:rowOff>
    </xdr:to>
    <xdr:graphicFrame macro="">
      <xdr:nvGraphicFramePr>
        <xdr:cNvPr id="15" name="Chart 14">
          <a:extLst>
            <a:ext uri="{FF2B5EF4-FFF2-40B4-BE49-F238E27FC236}">
              <a16:creationId xmlns:a16="http://schemas.microsoft.com/office/drawing/2014/main" id="{D0B442EA-F973-43BE-8325-77336F5D9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xdr:colOff>
      <xdr:row>3</xdr:row>
      <xdr:rowOff>10079</xdr:rowOff>
    </xdr:from>
    <xdr:to>
      <xdr:col>3</xdr:col>
      <xdr:colOff>647700</xdr:colOff>
      <xdr:row>7</xdr:row>
      <xdr:rowOff>141111</xdr:rowOff>
    </xdr:to>
    <xdr:sp macro="" textlink="Pivots!$A$4">
      <xdr:nvSpPr>
        <xdr:cNvPr id="2" name="Rectangle 1">
          <a:extLst>
            <a:ext uri="{FF2B5EF4-FFF2-40B4-BE49-F238E27FC236}">
              <a16:creationId xmlns:a16="http://schemas.microsoft.com/office/drawing/2014/main" id="{38620485-2DCE-9A14-9A44-689A6D2228D7}"/>
            </a:ext>
          </a:extLst>
        </xdr:cNvPr>
        <xdr:cNvSpPr/>
      </xdr:nvSpPr>
      <xdr:spPr>
        <a:xfrm>
          <a:off x="633891" y="806349"/>
          <a:ext cx="1686984" cy="856746"/>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268EAF7-B4E2-43FD-B281-780E209B9471}" type="TxLink">
            <a:rPr lang="en-US" sz="2000" b="0" i="0" u="none" strike="noStrike">
              <a:solidFill>
                <a:schemeClr val="bg1"/>
              </a:solidFill>
              <a:latin typeface="+mj-lt"/>
              <a:ea typeface="+mn-ea"/>
              <a:cs typeface="+mn-cs"/>
            </a:rPr>
            <a:pPr marL="0" indent="0" algn="ctr"/>
            <a:t>1,000</a:t>
          </a:fld>
          <a:endParaRPr lang="en-IN" sz="2000" b="0" i="0" u="none" strike="noStrike">
            <a:solidFill>
              <a:schemeClr val="bg1"/>
            </a:solidFill>
            <a:latin typeface="+mj-lt"/>
            <a:ea typeface="+mn-ea"/>
            <a:cs typeface="+mn-cs"/>
          </a:endParaRPr>
        </a:p>
      </xdr:txBody>
    </xdr:sp>
    <xdr:clientData/>
  </xdr:twoCellAnchor>
  <xdr:twoCellAnchor>
    <xdr:from>
      <xdr:col>2</xdr:col>
      <xdr:colOff>133350</xdr:colOff>
      <xdr:row>3</xdr:row>
      <xdr:rowOff>50800</xdr:rowOff>
    </xdr:from>
    <xdr:to>
      <xdr:col>3</xdr:col>
      <xdr:colOff>552450</xdr:colOff>
      <xdr:row>4</xdr:row>
      <xdr:rowOff>107950</xdr:rowOff>
    </xdr:to>
    <xdr:sp macro="" textlink="">
      <xdr:nvSpPr>
        <xdr:cNvPr id="3" name="TextBox 2">
          <a:extLst>
            <a:ext uri="{FF2B5EF4-FFF2-40B4-BE49-F238E27FC236}">
              <a16:creationId xmlns:a16="http://schemas.microsoft.com/office/drawing/2014/main" id="{87371A3F-E4A2-0EFA-AAF5-B0814C58CDF9}"/>
            </a:ext>
          </a:extLst>
        </xdr:cNvPr>
        <xdr:cNvSpPr txBox="1"/>
      </xdr:nvSpPr>
      <xdr:spPr>
        <a:xfrm>
          <a:off x="628650" y="603250"/>
          <a:ext cx="10795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Calls</a:t>
          </a:r>
        </a:p>
      </xdr:txBody>
    </xdr:sp>
    <xdr:clientData/>
  </xdr:twoCellAnchor>
  <xdr:twoCellAnchor editAs="oneCell">
    <xdr:from>
      <xdr:col>2</xdr:col>
      <xdr:colOff>101600</xdr:colOff>
      <xdr:row>3</xdr:row>
      <xdr:rowOff>69851</xdr:rowOff>
    </xdr:from>
    <xdr:to>
      <xdr:col>2</xdr:col>
      <xdr:colOff>346450</xdr:colOff>
      <xdr:row>4</xdr:row>
      <xdr:rowOff>120649</xdr:rowOff>
    </xdr:to>
    <xdr:pic>
      <xdr:nvPicPr>
        <xdr:cNvPr id="4" name="Graphic 3" descr="Receiver with solid fill">
          <a:extLst>
            <a:ext uri="{FF2B5EF4-FFF2-40B4-BE49-F238E27FC236}">
              <a16:creationId xmlns:a16="http://schemas.microsoft.com/office/drawing/2014/main" id="{D62546F3-2E46-409D-9A86-89595AF26A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96900" y="622301"/>
          <a:ext cx="244850" cy="234949"/>
        </a:xfrm>
        <a:prstGeom prst="rect">
          <a:avLst/>
        </a:prstGeom>
      </xdr:spPr>
    </xdr:pic>
    <xdr:clientData/>
  </xdr:twoCellAnchor>
  <xdr:oneCellAnchor>
    <xdr:from>
      <xdr:col>6</xdr:col>
      <xdr:colOff>127000</xdr:colOff>
      <xdr:row>4</xdr:row>
      <xdr:rowOff>158750</xdr:rowOff>
    </xdr:from>
    <xdr:ext cx="184731" cy="264560"/>
    <xdr:sp macro="" textlink="">
      <xdr:nvSpPr>
        <xdr:cNvPr id="5" name="TextBox 4">
          <a:extLst>
            <a:ext uri="{FF2B5EF4-FFF2-40B4-BE49-F238E27FC236}">
              <a16:creationId xmlns:a16="http://schemas.microsoft.com/office/drawing/2014/main" id="{A0203546-40EA-0128-864E-F7EAC0D17D8D}"/>
            </a:ext>
          </a:extLst>
        </xdr:cNvPr>
        <xdr:cNvSpPr txBox="1"/>
      </xdr:nvSpPr>
      <xdr:spPr>
        <a:xfrm>
          <a:off x="3263900" y="895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292100</xdr:colOff>
      <xdr:row>6</xdr:row>
      <xdr:rowOff>25400</xdr:rowOff>
    </xdr:from>
    <xdr:to>
      <xdr:col>3</xdr:col>
      <xdr:colOff>393700</xdr:colOff>
      <xdr:row>7</xdr:row>
      <xdr:rowOff>88900</xdr:rowOff>
    </xdr:to>
    <xdr:sp macro="" textlink="Pivots!A10">
      <xdr:nvSpPr>
        <xdr:cNvPr id="8" name="TextBox 7">
          <a:extLst>
            <a:ext uri="{FF2B5EF4-FFF2-40B4-BE49-F238E27FC236}">
              <a16:creationId xmlns:a16="http://schemas.microsoft.com/office/drawing/2014/main" id="{20763FD2-69CD-32CE-1623-85535D40FB86}"/>
            </a:ext>
          </a:extLst>
        </xdr:cNvPr>
        <xdr:cNvSpPr txBox="1"/>
      </xdr:nvSpPr>
      <xdr:spPr>
        <a:xfrm>
          <a:off x="787400" y="1130300"/>
          <a:ext cx="762000"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47F9EF-DB1A-4C58-8138-AB14A2FE9E63}" type="TxLink">
            <a:rPr lang="en-US" sz="1100" b="1" i="0" u="none" strike="noStrike">
              <a:solidFill>
                <a:schemeClr val="bg1"/>
              </a:solidFill>
              <a:latin typeface="Aptos"/>
            </a:rPr>
            <a:pPr algn="ctr"/>
            <a:t>218</a:t>
          </a:fld>
          <a:endParaRPr lang="en-IN" sz="1100" b="1">
            <a:solidFill>
              <a:schemeClr val="bg1"/>
            </a:solidFill>
          </a:endParaRPr>
        </a:p>
      </xdr:txBody>
    </xdr:sp>
    <xdr:clientData/>
  </xdr:twoCellAnchor>
  <xdr:twoCellAnchor>
    <xdr:from>
      <xdr:col>2</xdr:col>
      <xdr:colOff>0</xdr:colOff>
      <xdr:row>11</xdr:row>
      <xdr:rowOff>0</xdr:rowOff>
    </xdr:from>
    <xdr:to>
      <xdr:col>3</xdr:col>
      <xdr:colOff>628650</xdr:colOff>
      <xdr:row>15</xdr:row>
      <xdr:rowOff>158750</xdr:rowOff>
    </xdr:to>
    <xdr:sp macro="" textlink="Pivots!$B$4">
      <xdr:nvSpPr>
        <xdr:cNvPr id="35" name="Rectangle 34">
          <a:extLst>
            <a:ext uri="{FF2B5EF4-FFF2-40B4-BE49-F238E27FC236}">
              <a16:creationId xmlns:a16="http://schemas.microsoft.com/office/drawing/2014/main" id="{00946004-81B1-4B60-B7A6-712273CDF06D}"/>
            </a:ext>
          </a:extLst>
        </xdr:cNvPr>
        <xdr:cNvSpPr/>
      </xdr:nvSpPr>
      <xdr:spPr>
        <a:xfrm>
          <a:off x="495300" y="2025650"/>
          <a:ext cx="1289050" cy="8953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CBFCBB0B-0F95-47ED-B9B0-336301ACC48D}" type="TxLink">
            <a:rPr lang="en-US" sz="2000" b="0" i="0" u="none" strike="noStrike">
              <a:solidFill>
                <a:schemeClr val="bg1"/>
              </a:solidFill>
              <a:latin typeface="+mj-lt"/>
              <a:ea typeface="+mn-ea"/>
              <a:cs typeface="+mn-cs"/>
            </a:rPr>
            <a:pPr marL="0" indent="0" algn="ctr"/>
            <a:t>$96,623</a:t>
          </a:fld>
          <a:r>
            <a:rPr lang="en-US" sz="2000" b="0" i="0" u="none" strike="noStrike">
              <a:solidFill>
                <a:schemeClr val="bg1"/>
              </a:solidFill>
              <a:latin typeface="+mj-lt"/>
              <a:ea typeface="+mn-ea"/>
              <a:cs typeface="+mn-cs"/>
            </a:rPr>
            <a:t> </a:t>
          </a:r>
          <a:endParaRPr lang="en-IN" sz="2000" b="0" i="0" u="none" strike="noStrike">
            <a:solidFill>
              <a:schemeClr val="bg1"/>
            </a:solidFill>
            <a:latin typeface="+mj-lt"/>
            <a:ea typeface="+mn-ea"/>
            <a:cs typeface="+mn-cs"/>
          </a:endParaRPr>
        </a:p>
      </xdr:txBody>
    </xdr:sp>
    <xdr:clientData/>
  </xdr:twoCellAnchor>
  <xdr:twoCellAnchor>
    <xdr:from>
      <xdr:col>2</xdr:col>
      <xdr:colOff>114300</xdr:colOff>
      <xdr:row>11</xdr:row>
      <xdr:rowOff>69850</xdr:rowOff>
    </xdr:from>
    <xdr:to>
      <xdr:col>3</xdr:col>
      <xdr:colOff>533400</xdr:colOff>
      <xdr:row>12</xdr:row>
      <xdr:rowOff>127000</xdr:rowOff>
    </xdr:to>
    <xdr:sp macro="" textlink="">
      <xdr:nvSpPr>
        <xdr:cNvPr id="36" name="TextBox 35">
          <a:extLst>
            <a:ext uri="{FF2B5EF4-FFF2-40B4-BE49-F238E27FC236}">
              <a16:creationId xmlns:a16="http://schemas.microsoft.com/office/drawing/2014/main" id="{2C9B62EF-99B2-46EF-9077-324F0DC142BF}"/>
            </a:ext>
          </a:extLst>
        </xdr:cNvPr>
        <xdr:cNvSpPr txBox="1"/>
      </xdr:nvSpPr>
      <xdr:spPr>
        <a:xfrm>
          <a:off x="609600" y="2095500"/>
          <a:ext cx="10795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Amount</a:t>
          </a:r>
        </a:p>
      </xdr:txBody>
    </xdr:sp>
    <xdr:clientData/>
  </xdr:twoCellAnchor>
  <xdr:twoCellAnchor>
    <xdr:from>
      <xdr:col>2</xdr:col>
      <xdr:colOff>273050</xdr:colOff>
      <xdr:row>14</xdr:row>
      <xdr:rowOff>44450</xdr:rowOff>
    </xdr:from>
    <xdr:to>
      <xdr:col>3</xdr:col>
      <xdr:colOff>374650</xdr:colOff>
      <xdr:row>15</xdr:row>
      <xdr:rowOff>107950</xdr:rowOff>
    </xdr:to>
    <xdr:sp macro="" textlink="Pivots!B10">
      <xdr:nvSpPr>
        <xdr:cNvPr id="38" name="TextBox 37">
          <a:extLst>
            <a:ext uri="{FF2B5EF4-FFF2-40B4-BE49-F238E27FC236}">
              <a16:creationId xmlns:a16="http://schemas.microsoft.com/office/drawing/2014/main" id="{A8037994-EB90-4785-B689-C36156F0B4BE}"/>
            </a:ext>
          </a:extLst>
        </xdr:cNvPr>
        <xdr:cNvSpPr txBox="1"/>
      </xdr:nvSpPr>
      <xdr:spPr>
        <a:xfrm>
          <a:off x="768350" y="2622550"/>
          <a:ext cx="762000"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278966-6D51-470C-BCD5-8E4106DFA7A2}" type="TxLink">
            <a:rPr lang="en-US" sz="1100" b="0" i="0" u="none" strike="noStrike">
              <a:solidFill>
                <a:schemeClr val="bg1"/>
              </a:solidFill>
              <a:latin typeface="Aptos"/>
            </a:rPr>
            <a:pPr algn="ctr"/>
            <a:t>$20,581</a:t>
          </a:fld>
          <a:endParaRPr lang="en-IN" sz="1100" b="1">
            <a:solidFill>
              <a:schemeClr val="bg1"/>
            </a:solidFill>
          </a:endParaRPr>
        </a:p>
      </xdr:txBody>
    </xdr:sp>
    <xdr:clientData/>
  </xdr:twoCellAnchor>
  <xdr:twoCellAnchor>
    <xdr:from>
      <xdr:col>2</xdr:col>
      <xdr:colOff>0</xdr:colOff>
      <xdr:row>19</xdr:row>
      <xdr:rowOff>0</xdr:rowOff>
    </xdr:from>
    <xdr:to>
      <xdr:col>3</xdr:col>
      <xdr:colOff>628650</xdr:colOff>
      <xdr:row>23</xdr:row>
      <xdr:rowOff>158750</xdr:rowOff>
    </xdr:to>
    <xdr:sp macro="" textlink="Pivots!$C$4">
      <xdr:nvSpPr>
        <xdr:cNvPr id="39" name="Rectangle 38">
          <a:extLst>
            <a:ext uri="{FF2B5EF4-FFF2-40B4-BE49-F238E27FC236}">
              <a16:creationId xmlns:a16="http://schemas.microsoft.com/office/drawing/2014/main" id="{9A0FB630-221A-4344-B9C6-963C02856D01}"/>
            </a:ext>
          </a:extLst>
        </xdr:cNvPr>
        <xdr:cNvSpPr/>
      </xdr:nvSpPr>
      <xdr:spPr>
        <a:xfrm>
          <a:off x="495300" y="3498850"/>
          <a:ext cx="1289050" cy="8953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81A6024-8E3B-4178-977B-4D280B383CE6}" type="TxLink">
            <a:rPr lang="en-US" sz="2000" b="0" i="0" u="none" strike="noStrike">
              <a:solidFill>
                <a:schemeClr val="bg1"/>
              </a:solidFill>
              <a:latin typeface="+mj-lt"/>
              <a:ea typeface="+mn-ea"/>
              <a:cs typeface="+mn-cs"/>
            </a:rPr>
            <a:pPr marL="0" indent="0" algn="ctr"/>
            <a:t>89,850</a:t>
          </a:fld>
          <a:endParaRPr lang="en-IN" sz="2000" b="0" i="0" u="none" strike="noStrike">
            <a:solidFill>
              <a:schemeClr val="bg1"/>
            </a:solidFill>
            <a:latin typeface="+mj-lt"/>
            <a:ea typeface="+mn-ea"/>
            <a:cs typeface="+mn-cs"/>
          </a:endParaRPr>
        </a:p>
      </xdr:txBody>
    </xdr:sp>
    <xdr:clientData/>
  </xdr:twoCellAnchor>
  <xdr:twoCellAnchor>
    <xdr:from>
      <xdr:col>2</xdr:col>
      <xdr:colOff>114300</xdr:colOff>
      <xdr:row>19</xdr:row>
      <xdr:rowOff>69850</xdr:rowOff>
    </xdr:from>
    <xdr:to>
      <xdr:col>3</xdr:col>
      <xdr:colOff>533400</xdr:colOff>
      <xdr:row>20</xdr:row>
      <xdr:rowOff>127000</xdr:rowOff>
    </xdr:to>
    <xdr:sp macro="" textlink="">
      <xdr:nvSpPr>
        <xdr:cNvPr id="40" name="TextBox 39">
          <a:extLst>
            <a:ext uri="{FF2B5EF4-FFF2-40B4-BE49-F238E27FC236}">
              <a16:creationId xmlns:a16="http://schemas.microsoft.com/office/drawing/2014/main" id="{951A3E1A-C338-4580-AD2A-51F7AFE257BE}"/>
            </a:ext>
          </a:extLst>
        </xdr:cNvPr>
        <xdr:cNvSpPr txBox="1"/>
      </xdr:nvSpPr>
      <xdr:spPr>
        <a:xfrm>
          <a:off x="609600" y="3568700"/>
          <a:ext cx="10795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Duration</a:t>
          </a:r>
        </a:p>
      </xdr:txBody>
    </xdr:sp>
    <xdr:clientData/>
  </xdr:twoCellAnchor>
  <xdr:twoCellAnchor>
    <xdr:from>
      <xdr:col>2</xdr:col>
      <xdr:colOff>273050</xdr:colOff>
      <xdr:row>22</xdr:row>
      <xdr:rowOff>44450</xdr:rowOff>
    </xdr:from>
    <xdr:to>
      <xdr:col>3</xdr:col>
      <xdr:colOff>374650</xdr:colOff>
      <xdr:row>23</xdr:row>
      <xdr:rowOff>107950</xdr:rowOff>
    </xdr:to>
    <xdr:sp macro="" textlink="Pivots!C10">
      <xdr:nvSpPr>
        <xdr:cNvPr id="42" name="TextBox 41">
          <a:extLst>
            <a:ext uri="{FF2B5EF4-FFF2-40B4-BE49-F238E27FC236}">
              <a16:creationId xmlns:a16="http://schemas.microsoft.com/office/drawing/2014/main" id="{34E21DF2-DBC1-4484-B7ED-7D07D56283AA}"/>
            </a:ext>
          </a:extLst>
        </xdr:cNvPr>
        <xdr:cNvSpPr txBox="1"/>
      </xdr:nvSpPr>
      <xdr:spPr>
        <a:xfrm>
          <a:off x="768350" y="4095750"/>
          <a:ext cx="762000"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28F2A4-0190-4069-8934-82FEB771013C}" type="TxLink">
            <a:rPr lang="en-US" sz="1100" b="0" i="0" u="none" strike="noStrike">
              <a:solidFill>
                <a:schemeClr val="bg1"/>
              </a:solidFill>
              <a:latin typeface="Aptos"/>
            </a:rPr>
            <a:pPr algn="ctr"/>
            <a:t>19,300</a:t>
          </a:fld>
          <a:endParaRPr lang="en-IN" sz="1100" b="1">
            <a:solidFill>
              <a:schemeClr val="bg1"/>
            </a:solidFill>
          </a:endParaRPr>
        </a:p>
      </xdr:txBody>
    </xdr:sp>
    <xdr:clientData/>
  </xdr:twoCellAnchor>
  <xdr:twoCellAnchor>
    <xdr:from>
      <xdr:col>2</xdr:col>
      <xdr:colOff>6350</xdr:colOff>
      <xdr:row>26</xdr:row>
      <xdr:rowOff>177800</xdr:rowOff>
    </xdr:from>
    <xdr:to>
      <xdr:col>3</xdr:col>
      <xdr:colOff>635000</xdr:colOff>
      <xdr:row>31</xdr:row>
      <xdr:rowOff>152400</xdr:rowOff>
    </xdr:to>
    <xdr:sp macro="" textlink="Pivots!$D$4">
      <xdr:nvSpPr>
        <xdr:cNvPr id="43" name="Rectangle 42">
          <a:extLst>
            <a:ext uri="{FF2B5EF4-FFF2-40B4-BE49-F238E27FC236}">
              <a16:creationId xmlns:a16="http://schemas.microsoft.com/office/drawing/2014/main" id="{C6CBFE7F-8C33-4A34-BC8D-C9AB87259C9E}"/>
            </a:ext>
          </a:extLst>
        </xdr:cNvPr>
        <xdr:cNvSpPr/>
      </xdr:nvSpPr>
      <xdr:spPr>
        <a:xfrm>
          <a:off x="501650" y="4965700"/>
          <a:ext cx="1289050" cy="895350"/>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197A1090-22CB-4463-B580-C857A02D8077}" type="TxLink">
            <a:rPr lang="en-US" sz="2000" b="0" i="0" u="none" strike="noStrike">
              <a:solidFill>
                <a:schemeClr val="bg1"/>
              </a:solidFill>
              <a:latin typeface="+mj-lt"/>
              <a:ea typeface="+mn-ea"/>
              <a:cs typeface="+mn-cs"/>
            </a:rPr>
            <a:pPr marL="0" indent="0" algn="ctr"/>
            <a:t>3.9</a:t>
          </a:fld>
          <a:endParaRPr lang="en-IN" sz="2000" b="0" i="0" u="none" strike="noStrike">
            <a:solidFill>
              <a:schemeClr val="bg1"/>
            </a:solidFill>
            <a:latin typeface="+mj-lt"/>
            <a:ea typeface="+mn-ea"/>
            <a:cs typeface="+mn-cs"/>
          </a:endParaRPr>
        </a:p>
      </xdr:txBody>
    </xdr:sp>
    <xdr:clientData/>
  </xdr:twoCellAnchor>
  <xdr:twoCellAnchor>
    <xdr:from>
      <xdr:col>2</xdr:col>
      <xdr:colOff>114300</xdr:colOff>
      <xdr:row>27</xdr:row>
      <xdr:rowOff>69850</xdr:rowOff>
    </xdr:from>
    <xdr:to>
      <xdr:col>3</xdr:col>
      <xdr:colOff>533400</xdr:colOff>
      <xdr:row>28</xdr:row>
      <xdr:rowOff>127000</xdr:rowOff>
    </xdr:to>
    <xdr:sp macro="" textlink="">
      <xdr:nvSpPr>
        <xdr:cNvPr id="44" name="TextBox 43">
          <a:extLst>
            <a:ext uri="{FF2B5EF4-FFF2-40B4-BE49-F238E27FC236}">
              <a16:creationId xmlns:a16="http://schemas.microsoft.com/office/drawing/2014/main" id="{CBDA508E-4EFC-4EB6-87C2-DA8ACA36349F}"/>
            </a:ext>
          </a:extLst>
        </xdr:cNvPr>
        <xdr:cNvSpPr txBox="1"/>
      </xdr:nvSpPr>
      <xdr:spPr>
        <a:xfrm>
          <a:off x="609600" y="5041900"/>
          <a:ext cx="10795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Avg.</a:t>
          </a:r>
          <a:r>
            <a:rPr lang="en-IN" sz="1100" b="1" baseline="0">
              <a:solidFill>
                <a:schemeClr val="bg1"/>
              </a:solidFill>
            </a:rPr>
            <a:t> Rating</a:t>
          </a:r>
          <a:endParaRPr lang="en-IN" sz="1100" b="1">
            <a:solidFill>
              <a:schemeClr val="bg1"/>
            </a:solidFill>
          </a:endParaRPr>
        </a:p>
      </xdr:txBody>
    </xdr:sp>
    <xdr:clientData/>
  </xdr:twoCellAnchor>
  <xdr:twoCellAnchor>
    <xdr:from>
      <xdr:col>2</xdr:col>
      <xdr:colOff>273050</xdr:colOff>
      <xdr:row>30</xdr:row>
      <xdr:rowOff>44450</xdr:rowOff>
    </xdr:from>
    <xdr:to>
      <xdr:col>3</xdr:col>
      <xdr:colOff>374650</xdr:colOff>
      <xdr:row>31</xdr:row>
      <xdr:rowOff>107950</xdr:rowOff>
    </xdr:to>
    <xdr:sp macro="" textlink="Pivots!D10">
      <xdr:nvSpPr>
        <xdr:cNvPr id="46" name="TextBox 45">
          <a:extLst>
            <a:ext uri="{FF2B5EF4-FFF2-40B4-BE49-F238E27FC236}">
              <a16:creationId xmlns:a16="http://schemas.microsoft.com/office/drawing/2014/main" id="{8E781ED6-D3E3-4062-AAD3-9F0BB5C25816}"/>
            </a:ext>
          </a:extLst>
        </xdr:cNvPr>
        <xdr:cNvSpPr txBox="1"/>
      </xdr:nvSpPr>
      <xdr:spPr>
        <a:xfrm>
          <a:off x="768350" y="5568950"/>
          <a:ext cx="762000"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6C164E-64E5-42BF-96B1-EB0D4F3F680C}" type="TxLink">
            <a:rPr lang="en-US" sz="1100" b="0" i="0" u="none" strike="noStrike">
              <a:solidFill>
                <a:schemeClr val="bg1"/>
              </a:solidFill>
              <a:latin typeface="Aptos"/>
            </a:rPr>
            <a:pPr algn="ctr"/>
            <a:t>3.9</a:t>
          </a:fld>
          <a:endParaRPr lang="en-IN" sz="1100" b="1">
            <a:solidFill>
              <a:schemeClr val="bg1"/>
            </a:solidFill>
          </a:endParaRPr>
        </a:p>
      </xdr:txBody>
    </xdr:sp>
    <xdr:clientData/>
  </xdr:twoCellAnchor>
  <xdr:twoCellAnchor>
    <xdr:from>
      <xdr:col>1</xdr:col>
      <xdr:colOff>196850</xdr:colOff>
      <xdr:row>34</xdr:row>
      <xdr:rowOff>84465</xdr:rowOff>
    </xdr:from>
    <xdr:to>
      <xdr:col>3</xdr:col>
      <xdr:colOff>590550</xdr:colOff>
      <xdr:row>39</xdr:row>
      <xdr:rowOff>59065</xdr:rowOff>
    </xdr:to>
    <xdr:sp macro="" textlink="Pivots!$E$4">
      <xdr:nvSpPr>
        <xdr:cNvPr id="47" name="Rectangle 46">
          <a:extLst>
            <a:ext uri="{FF2B5EF4-FFF2-40B4-BE49-F238E27FC236}">
              <a16:creationId xmlns:a16="http://schemas.microsoft.com/office/drawing/2014/main" id="{9FF01E5B-B9CA-4D40-B51A-B6A055B3C23F}"/>
            </a:ext>
          </a:extLst>
        </xdr:cNvPr>
        <xdr:cNvSpPr/>
      </xdr:nvSpPr>
      <xdr:spPr>
        <a:xfrm>
          <a:off x="519390" y="6505021"/>
          <a:ext cx="1744335" cy="881742"/>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2838E3D-17FB-4C51-A733-ECD277822520}" type="TxLink">
            <a:rPr lang="en-US" sz="2000" b="0" i="0" u="none" strike="noStrike">
              <a:solidFill>
                <a:schemeClr val="bg1"/>
              </a:solidFill>
              <a:latin typeface="+mj-lt"/>
              <a:ea typeface="+mn-ea"/>
              <a:cs typeface="+mn-cs"/>
            </a:rPr>
            <a:pPr marL="0" indent="0" algn="ctr"/>
            <a:t>307</a:t>
          </a:fld>
          <a:endParaRPr lang="en-IN" sz="2000" b="0" i="0" u="none" strike="noStrike">
            <a:solidFill>
              <a:schemeClr val="bg1"/>
            </a:solidFill>
            <a:latin typeface="+mj-lt"/>
            <a:ea typeface="+mn-ea"/>
            <a:cs typeface="+mn-cs"/>
          </a:endParaRPr>
        </a:p>
      </xdr:txBody>
    </xdr:sp>
    <xdr:clientData/>
  </xdr:twoCellAnchor>
  <xdr:twoCellAnchor>
    <xdr:from>
      <xdr:col>2</xdr:col>
      <xdr:colOff>107950</xdr:colOff>
      <xdr:row>34</xdr:row>
      <xdr:rowOff>151190</xdr:rowOff>
    </xdr:from>
    <xdr:to>
      <xdr:col>3</xdr:col>
      <xdr:colOff>635000</xdr:colOff>
      <xdr:row>36</xdr:row>
      <xdr:rowOff>80636</xdr:rowOff>
    </xdr:to>
    <xdr:sp macro="" textlink="">
      <xdr:nvSpPr>
        <xdr:cNvPr id="48" name="TextBox 47">
          <a:extLst>
            <a:ext uri="{FF2B5EF4-FFF2-40B4-BE49-F238E27FC236}">
              <a16:creationId xmlns:a16="http://schemas.microsoft.com/office/drawing/2014/main" id="{16ACF023-4534-4E37-B6ED-357EBAD814B3}"/>
            </a:ext>
          </a:extLst>
        </xdr:cNvPr>
        <xdr:cNvSpPr txBox="1"/>
      </xdr:nvSpPr>
      <xdr:spPr>
        <a:xfrm>
          <a:off x="722791" y="6571746"/>
          <a:ext cx="1585384" cy="2923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bg1"/>
              </a:solidFill>
            </a:rPr>
            <a:t>Happy</a:t>
          </a:r>
          <a:r>
            <a:rPr lang="en-IN" sz="1100" b="1" baseline="0">
              <a:solidFill>
                <a:schemeClr val="bg1"/>
              </a:solidFill>
            </a:rPr>
            <a:t> Callers</a:t>
          </a:r>
          <a:endParaRPr lang="en-IN" sz="1100" b="1">
            <a:solidFill>
              <a:schemeClr val="bg1"/>
            </a:solidFill>
          </a:endParaRPr>
        </a:p>
      </xdr:txBody>
    </xdr:sp>
    <xdr:clientData/>
  </xdr:twoCellAnchor>
  <xdr:twoCellAnchor>
    <xdr:from>
      <xdr:col>2</xdr:col>
      <xdr:colOff>209550</xdr:colOff>
      <xdr:row>38</xdr:row>
      <xdr:rowOff>0</xdr:rowOff>
    </xdr:from>
    <xdr:to>
      <xdr:col>3</xdr:col>
      <xdr:colOff>311150</xdr:colOff>
      <xdr:row>39</xdr:row>
      <xdr:rowOff>63500</xdr:rowOff>
    </xdr:to>
    <xdr:sp macro="" textlink="Pivots!E10">
      <xdr:nvSpPr>
        <xdr:cNvPr id="50" name="TextBox 49">
          <a:extLst>
            <a:ext uri="{FF2B5EF4-FFF2-40B4-BE49-F238E27FC236}">
              <a16:creationId xmlns:a16="http://schemas.microsoft.com/office/drawing/2014/main" id="{18146129-BDF9-44D5-B22D-ABD163D188FE}"/>
            </a:ext>
          </a:extLst>
        </xdr:cNvPr>
        <xdr:cNvSpPr txBox="1"/>
      </xdr:nvSpPr>
      <xdr:spPr>
        <a:xfrm>
          <a:off x="704850" y="6997700"/>
          <a:ext cx="762000" cy="247650"/>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33A67B-242A-4BA9-823A-F7595162BF94}" type="TxLink">
            <a:rPr lang="en-US" sz="1100" b="0" i="0" u="none" strike="noStrike">
              <a:solidFill>
                <a:schemeClr val="bg1"/>
              </a:solidFill>
              <a:latin typeface="Aptos"/>
            </a:rPr>
            <a:pPr algn="ctr"/>
            <a:t>74</a:t>
          </a:fld>
          <a:endParaRPr lang="en-IN" sz="1100" b="1">
            <a:solidFill>
              <a:schemeClr val="bg1"/>
            </a:solidFill>
          </a:endParaRPr>
        </a:p>
      </xdr:txBody>
    </xdr:sp>
    <xdr:clientData/>
  </xdr:twoCellAnchor>
  <xdr:twoCellAnchor editAs="oneCell">
    <xdr:from>
      <xdr:col>2</xdr:col>
      <xdr:colOff>44449</xdr:colOff>
      <xdr:row>11</xdr:row>
      <xdr:rowOff>38101</xdr:rowOff>
    </xdr:from>
    <xdr:to>
      <xdr:col>2</xdr:col>
      <xdr:colOff>273050</xdr:colOff>
      <xdr:row>12</xdr:row>
      <xdr:rowOff>73308</xdr:rowOff>
    </xdr:to>
    <xdr:pic>
      <xdr:nvPicPr>
        <xdr:cNvPr id="6" name="Graphic 5" descr="Star-struck face outline with solid fill">
          <a:extLst>
            <a:ext uri="{FF2B5EF4-FFF2-40B4-BE49-F238E27FC236}">
              <a16:creationId xmlns:a16="http://schemas.microsoft.com/office/drawing/2014/main" id="{0703F78D-BD19-4F51-9AD5-1616B564D58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9749" y="2063751"/>
          <a:ext cx="228601" cy="219358"/>
        </a:xfrm>
        <a:prstGeom prst="rect">
          <a:avLst/>
        </a:prstGeom>
      </xdr:spPr>
    </xdr:pic>
    <xdr:clientData/>
  </xdr:twoCellAnchor>
  <xdr:twoCellAnchor editAs="oneCell">
    <xdr:from>
      <xdr:col>2</xdr:col>
      <xdr:colOff>19051</xdr:colOff>
      <xdr:row>26</xdr:row>
      <xdr:rowOff>139701</xdr:rowOff>
    </xdr:from>
    <xdr:to>
      <xdr:col>2</xdr:col>
      <xdr:colOff>310169</xdr:colOff>
      <xdr:row>28</xdr:row>
      <xdr:rowOff>50800</xdr:rowOff>
    </xdr:to>
    <xdr:pic>
      <xdr:nvPicPr>
        <xdr:cNvPr id="7" name="Graphic 6" descr="Rating Star with solid fill">
          <a:extLst>
            <a:ext uri="{FF2B5EF4-FFF2-40B4-BE49-F238E27FC236}">
              <a16:creationId xmlns:a16="http://schemas.microsoft.com/office/drawing/2014/main" id="{24D8CE93-5553-4243-AA87-B6FD6AE1C7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514351" y="4927601"/>
          <a:ext cx="291118" cy="279399"/>
        </a:xfrm>
        <a:prstGeom prst="rect">
          <a:avLst/>
        </a:prstGeom>
      </xdr:spPr>
    </xdr:pic>
    <xdr:clientData/>
  </xdr:twoCellAnchor>
  <xdr:twoCellAnchor editAs="oneCell">
    <xdr:from>
      <xdr:col>2</xdr:col>
      <xdr:colOff>25400</xdr:colOff>
      <xdr:row>19</xdr:row>
      <xdr:rowOff>44450</xdr:rowOff>
    </xdr:from>
    <xdr:to>
      <xdr:col>2</xdr:col>
      <xdr:colOff>273050</xdr:colOff>
      <xdr:row>20</xdr:row>
      <xdr:rowOff>102942</xdr:rowOff>
    </xdr:to>
    <xdr:pic>
      <xdr:nvPicPr>
        <xdr:cNvPr id="9" name="Graphic 8" descr="Hourglass Finished with solid fill">
          <a:extLst>
            <a:ext uri="{FF2B5EF4-FFF2-40B4-BE49-F238E27FC236}">
              <a16:creationId xmlns:a16="http://schemas.microsoft.com/office/drawing/2014/main" id="{EADCA877-E4E5-4F72-84AC-070501C45C1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20700" y="3543300"/>
          <a:ext cx="247650" cy="242643"/>
        </a:xfrm>
        <a:prstGeom prst="rect">
          <a:avLst/>
        </a:prstGeom>
      </xdr:spPr>
    </xdr:pic>
    <xdr:clientData/>
  </xdr:twoCellAnchor>
  <xdr:twoCellAnchor editAs="oneCell">
    <xdr:from>
      <xdr:col>1</xdr:col>
      <xdr:colOff>215900</xdr:colOff>
      <xdr:row>34</xdr:row>
      <xdr:rowOff>171451</xdr:rowOff>
    </xdr:from>
    <xdr:to>
      <xdr:col>2</xdr:col>
      <xdr:colOff>166687</xdr:colOff>
      <xdr:row>36</xdr:row>
      <xdr:rowOff>44929</xdr:rowOff>
    </xdr:to>
    <xdr:pic>
      <xdr:nvPicPr>
        <xdr:cNvPr id="10" name="Graphic 9" descr="Call center with solid fill">
          <a:extLst>
            <a:ext uri="{FF2B5EF4-FFF2-40B4-BE49-F238E27FC236}">
              <a16:creationId xmlns:a16="http://schemas.microsoft.com/office/drawing/2014/main" id="{9072B114-CA51-4415-B8A1-94CC04AD182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76250" y="6432551"/>
          <a:ext cx="241300" cy="241778"/>
        </a:xfrm>
        <a:prstGeom prst="rect">
          <a:avLst/>
        </a:prstGeom>
      </xdr:spPr>
    </xdr:pic>
    <xdr:clientData/>
  </xdr:twoCellAnchor>
  <xdr:twoCellAnchor>
    <xdr:from>
      <xdr:col>4</xdr:col>
      <xdr:colOff>361950</xdr:colOff>
      <xdr:row>3</xdr:row>
      <xdr:rowOff>6350</xdr:rowOff>
    </xdr:from>
    <xdr:to>
      <xdr:col>11</xdr:col>
      <xdr:colOff>0</xdr:colOff>
      <xdr:row>16</xdr:row>
      <xdr:rowOff>177800</xdr:rowOff>
    </xdr:to>
    <xdr:graphicFrame macro="">
      <xdr:nvGraphicFramePr>
        <xdr:cNvPr id="14" name="Chart 13">
          <a:extLst>
            <a:ext uri="{FF2B5EF4-FFF2-40B4-BE49-F238E27FC236}">
              <a16:creationId xmlns:a16="http://schemas.microsoft.com/office/drawing/2014/main" id="{883E26D1-C7EB-4A58-A407-F84C83772C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444500</xdr:colOff>
      <xdr:row>19</xdr:row>
      <xdr:rowOff>146050</xdr:rowOff>
    </xdr:from>
    <xdr:to>
      <xdr:col>9</xdr:col>
      <xdr:colOff>69850</xdr:colOff>
      <xdr:row>38</xdr:row>
      <xdr:rowOff>69850</xdr:rowOff>
    </xdr:to>
    <xdr:graphicFrame macro="">
      <xdr:nvGraphicFramePr>
        <xdr:cNvPr id="12" name="Chart 11">
          <a:extLst>
            <a:ext uri="{FF2B5EF4-FFF2-40B4-BE49-F238E27FC236}">
              <a16:creationId xmlns:a16="http://schemas.microsoft.com/office/drawing/2014/main" id="{4D26394B-BAB5-4D4B-B9F7-3E1F4B889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645079</xdr:colOff>
      <xdr:row>3</xdr:row>
      <xdr:rowOff>21368</xdr:rowOff>
    </xdr:from>
    <xdr:to>
      <xdr:col>18</xdr:col>
      <xdr:colOff>211667</xdr:colOff>
      <xdr:row>16</xdr:row>
      <xdr:rowOff>161270</xdr:rowOff>
    </xdr:to>
    <xdr:graphicFrame macro="">
      <xdr:nvGraphicFramePr>
        <xdr:cNvPr id="17" name="Chart 16">
          <a:extLst>
            <a:ext uri="{FF2B5EF4-FFF2-40B4-BE49-F238E27FC236}">
              <a16:creationId xmlns:a16="http://schemas.microsoft.com/office/drawing/2014/main" id="{0EFFC16B-7BE2-45C6-A9B4-FB82A7B2BE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302381</xdr:colOff>
      <xdr:row>3</xdr:row>
      <xdr:rowOff>20159</xdr:rowOff>
    </xdr:from>
    <xdr:to>
      <xdr:col>22</xdr:col>
      <xdr:colOff>10080</xdr:colOff>
      <xdr:row>16</xdr:row>
      <xdr:rowOff>151192</xdr:rowOff>
    </xdr:to>
    <xdr:graphicFrame macro="">
      <xdr:nvGraphicFramePr>
        <xdr:cNvPr id="18" name="Chart 17">
          <a:extLst>
            <a:ext uri="{FF2B5EF4-FFF2-40B4-BE49-F238E27FC236}">
              <a16:creationId xmlns:a16="http://schemas.microsoft.com/office/drawing/2014/main" id="{C482EF09-02A0-4178-A3A1-505C7A624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16565</xdr:colOff>
      <xdr:row>6</xdr:row>
      <xdr:rowOff>285839</xdr:rowOff>
    </xdr:from>
    <xdr:to>
      <xdr:col>1</xdr:col>
      <xdr:colOff>426215</xdr:colOff>
      <xdr:row>8</xdr:row>
      <xdr:rowOff>170924</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9174" y="1953404"/>
          <a:ext cx="409650" cy="393085"/>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1128056"/>
          <a:ext cx="409650" cy="408529"/>
        </a:xfrm>
        <a:prstGeom prst="rect">
          <a:avLst/>
        </a:prstGeom>
      </xdr:spPr>
    </xdr:pic>
    <xdr:clientData/>
  </xdr:twoCellAnchor>
  <xdr:twoCellAnchor editAs="oneCell">
    <xdr:from>
      <xdr:col>1</xdr:col>
      <xdr:colOff>27609</xdr:colOff>
      <xdr:row>11</xdr:row>
      <xdr:rowOff>74757</xdr:rowOff>
    </xdr:from>
    <xdr:to>
      <xdr:col>1</xdr:col>
      <xdr:colOff>437259</xdr:colOff>
      <xdr:row>13</xdr:row>
      <xdr:rowOff>103407</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0218" y="2796974"/>
          <a:ext cx="409650" cy="393085"/>
        </a:xfrm>
        <a:prstGeom prst="rect">
          <a:avLst/>
        </a:prstGeom>
      </xdr:spPr>
    </xdr:pic>
    <xdr:clientData/>
  </xdr:twoCellAnchor>
  <xdr:twoCellAnchor editAs="oneCell">
    <xdr:from>
      <xdr:col>1</xdr:col>
      <xdr:colOff>74266</xdr:colOff>
      <xdr:row>15</xdr:row>
      <xdr:rowOff>76453</xdr:rowOff>
    </xdr:from>
    <xdr:to>
      <xdr:col>1</xdr:col>
      <xdr:colOff>485746</xdr:colOff>
      <xdr:row>17</xdr:row>
      <xdr:rowOff>106933</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36875" y="3527540"/>
          <a:ext cx="411480" cy="394915"/>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7.820636574077" backgroundQuery="1" createdVersion="8" refreshedVersion="8" minRefreshableVersion="3" recordCount="0" supportSubquery="1" supportAdvancedDrill="1" xr:uid="{42BD2A6C-33C5-4217-8059-93F96DCCB16A}">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6.894684143517" backgroundQuery="1" createdVersion="8" refreshedVersion="8" minRefreshableVersion="3" recordCount="0" supportSubquery="1" supportAdvancedDrill="1" xr:uid="{E70EAB26-E2F3-4DD8-93D9-172DC0636420}">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6.84617650463" backgroundQuery="1" createdVersion="8" refreshedVersion="8" minRefreshableVersion="3" recordCount="0" supportSubquery="1" supportAdvancedDrill="1" xr:uid="{5F4CCC10-0690-414C-A266-AAAC3BDD5BEA}">
  <cacheSource type="external" connectionId="1"/>
  <cacheFields count="5">
    <cacheField name="[Measures].[Call Count]" caption="Call Count" numFmtId="0" hierarchy="17" level="32767"/>
    <cacheField name="[Measures].[Total Amount]" caption="Total Amount" numFmtId="0" hierarchy="18" level="32767"/>
    <cacheField name="[Measures].[ Total Duration]" caption=" Total Duration" numFmtId="0" hierarchy="19" level="32767"/>
    <cacheField name="[Measures].[Avg. Rating]" caption="Avg. Rating" numFmtId="0" hierarchy="20" level="32767"/>
    <cacheField name="[Measures].[5* Calls]" caption="5* Calls" numFmtId="0" hierarchy="21"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 Total Duration]" caption=" 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7.878600231481" backgroundQuery="1" createdVersion="8" refreshedVersion="8" minRefreshableVersion="3" recordCount="0" supportSubquery="1" supportAdvancedDrill="1" xr:uid="{1DBA0710-1581-4BD5-A1CF-0602491BF8FB}">
  <cacheSource type="external" connectionId="1"/>
  <cacheFields count="4">
    <cacheField name="[customers].[City].[City]" caption="City" numFmtId="0" hierarchy="15" level="1">
      <sharedItems count="3">
        <s v="Cincinnati"/>
        <s v="Cleveland"/>
        <s v="Columbus"/>
      </sharedItems>
    </cacheField>
    <cacheField name="[calls].[Representative].[Representative]" caption="Representative" numFmtId="0" hierarchy="3" level="1">
      <sharedItems count="5">
        <s v="R01"/>
        <s v="R02"/>
        <s v="R03"/>
        <s v="R04"/>
        <s v="R05"/>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1"/>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9.808187152776" backgroundQuery="1" createdVersion="8" refreshedVersion="8" minRefreshableVersion="3" recordCount="0" supportSubquery="1" supportAdvancedDrill="1" xr:uid="{599FAE15-7229-49DC-B4D5-C086CA046752}">
  <cacheSource type="external" connectionId="1"/>
  <cacheFields count="6">
    <cacheField name="[Measures].[Call Count]" caption="Call Count" numFmtId="0" hierarchy="17" level="32767"/>
    <cacheField name="[Measures].[Total Amount]" caption="Total Amount" numFmtId="0" hierarchy="18" level="32767"/>
    <cacheField name="[Measures].[ Total Duration]" caption=" 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 Total Duration]" caption=" 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9.808187847222" backgroundQuery="1" createdVersion="8" refreshedVersion="8" minRefreshableVersion="3" recordCount="0" supportSubquery="1" supportAdvancedDrill="1" xr:uid="{08F0C8DC-09E8-4544-99CF-B0C31E7F15D4}">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02-01T00:00:00" count="16">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8" level="32767">
      <extLst>
        <ext xmlns:x14="http://schemas.microsoft.com/office/spreadsheetml/2009/9/main" uri="{63CAB8AC-B538-458d-9737-405883B0398D}">
          <x14:cacheField ignore="1"/>
        </ext>
      </extLst>
    </cacheField>
  </cacheFields>
  <cacheHierarchies count="29">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9.808188310184" backgroundQuery="1" createdVersion="8" refreshedVersion="8" minRefreshableVersion="3" recordCount="0" supportSubquery="1" supportAdvancedDrill="1" xr:uid="{F73FA91B-4E86-4418-8956-AAC45DFCE21A}">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9.808188657407" backgroundQuery="1" createdVersion="8" refreshedVersion="8" minRefreshableVersion="3" recordCount="0" supportSubquery="1" supportAdvancedDrill="1" xr:uid="{27DBDA26-5A20-463D-94B6-727EA48A2C6A}">
  <cacheSource type="external" connectionId="1"/>
  <cacheFields count="1">
    <cacheField name="[calls].[Representative].[Representative]" caption="Representative" numFmtId="0" hierarchy="3" level="1">
      <sharedItems count="1">
        <s v="R02"/>
      </sharedItems>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9.808189120369" backgroundQuery="1" createdVersion="8" refreshedVersion="8" minRefreshableVersion="3" recordCount="0" supportSubquery="1" supportAdvancedDrill="1" xr:uid="{A7D55BE7-DEC4-438D-BE0C-99FC8E6D4B01}">
  <cacheSource type="external" connectionId="1"/>
  <cacheFields count="4">
    <cacheField name="[customers].[City].[City]" caption="City" numFmtId="0" hierarchy="15" level="1">
      <sharedItems count="3">
        <s v="Cincinnati"/>
        <s v="Cleveland"/>
        <s v="Columbus"/>
      </sharedItems>
    </cacheField>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2"/>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Measures].[Sum of Rating rounded]" caption="Sum of Rating rounded" measure="1" displayFolder="" measureGroup="calls" count="0" hidden="1">
      <extLst>
        <ext xmlns:x15="http://schemas.microsoft.com/office/spreadsheetml/2010/11/main" uri="{B97F6D7D-B522-45F9-BDA1-12C45D357490}">
          <x15:cacheHierarchy aggregatedColumn="1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 Shirisha" refreshedDate="46196.846168634256" backgroundQuery="1" createdVersion="3" refreshedVersion="8" minRefreshableVersion="3" recordCount="0" supportSubquery="1" supportAdvancedDrill="1" xr:uid="{880252FE-78F3-4912-AF51-9A4FF6341958}">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 Total Duration]" caption=" 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978543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DF6552-5C92-4D9C-870F-C24DA5934135}" name="weekly trend"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G24:H32" firstHeaderRow="1" firstDataRow="1" firstDataCol="1"/>
  <pivotFields count="3">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11"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67372A-F4FD-4E1F-AECA-01A80B890FB5}" name="monthly trend"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E63DBE-DBC6-4119-801F-0F9DC4B506F5}" name="rep amount"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9">
  <location ref="A106:G125" firstHeaderRow="1" firstDataRow="2" firstDataCol="1"/>
  <pivotFields count="4">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0"/>
    <field x="2"/>
  </rowFields>
  <rowItems count="18">
    <i>
      <x/>
    </i>
    <i r="1">
      <x/>
    </i>
    <i r="1">
      <x v="1"/>
    </i>
    <i r="1">
      <x v="2"/>
    </i>
    <i r="1">
      <x v="3"/>
    </i>
    <i>
      <x v="1"/>
    </i>
    <i r="1">
      <x v="4"/>
    </i>
    <i r="1">
      <x v="5"/>
    </i>
    <i r="1">
      <x v="6"/>
    </i>
    <i r="1">
      <x v="7"/>
    </i>
    <i r="1">
      <x v="8"/>
    </i>
    <i r="1">
      <x v="9"/>
    </i>
    <i>
      <x v="2"/>
    </i>
    <i r="1">
      <x v="10"/>
    </i>
    <i r="1">
      <x v="11"/>
    </i>
    <i r="1">
      <x v="12"/>
    </i>
    <i r="1">
      <x v="13"/>
    </i>
    <i r="1">
      <x v="14"/>
    </i>
  </rowItems>
  <colFields count="1">
    <field x="1"/>
  </colFields>
  <colItems count="6">
    <i>
      <x/>
    </i>
    <i>
      <x v="1"/>
    </i>
    <i>
      <x v="2"/>
    </i>
    <i>
      <x v="3"/>
    </i>
    <i>
      <x v="4"/>
    </i>
    <i t="grand">
      <x/>
    </i>
  </colItems>
  <dataFields count="1">
    <dataField fld="3" subtotal="count" baseField="0" baseItem="0"/>
  </dataField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C9C3ED-1258-4F6D-97D2-C8108206BA92}" name="rep satisfaction"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89:B95" firstHeaderRow="1" firstDataRow="1" firstDataCol="1"/>
  <pivotFields count="4">
    <pivotField allDrilled="1" subtotalTop="0" showAll="0" dataSourceSort="1" defaultSubtotal="0" defaultAttributeDrillState="1">
      <items count="3">
        <item s="1" x="0"/>
        <item s="1" x="1"/>
        <item s="1" x="2"/>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1" subtotal="count" baseField="0" baseItem="0"/>
  </dataFields>
  <chartFormats count="1">
    <chartFormat chart="8" format="2"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F8B72-C707-4E23-8BBB-3D64BCFB09C4}" name="rep pivot"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7210D6-C9B0-4DC0-AEA7-FD5ACF42AFBD}"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77:D82" firstHeaderRow="1" firstDataRow="2" firstDataCol="1"/>
  <pivotFields count="3">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A1F1CA-94F0-4F31-A381-F7F0EE46B4B8}" name="summary pivot"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050903-5E6F-4D6A-982B-77A014BAA791}" name="selected rep" cacheId="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5:A66" firstHeaderRow="1" firstDataRow="1" firstDataCol="1"/>
  <pivotFields count="1">
    <pivotField axis="axisRow" allDrilled="1" subtotalTop="0" showAll="0" sortType="ascending" defaultSubtotal="0" defaultAttributeDrillState="1">
      <items count="1">
        <item s="1" x="0"/>
      </items>
    </pivotField>
  </pivotFields>
  <rowFields count="1">
    <field x="0"/>
  </rowFields>
  <rowItems count="1">
    <i>
      <x/>
    </i>
  </rowItems>
  <formats count="1">
    <format dxfId="21">
      <pivotArea dataOnly="0" labelOnly="1" fieldPosition="0">
        <references count="1">
          <reference field="0" count="0"/>
        </references>
      </pivotArea>
    </format>
  </formats>
  <pivotHierarchies count="2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9093BC-0215-4296-B4B5-941B93F7CF59}" name="reps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513288C6-57C8-468D-A9E4-241726E9B772}" sourceName="[calls].[Representative]">
  <pivotTables>
    <pivotTable tabId="13" name="rep pivot"/>
    <pivotTable tabId="13" name="monthly trend"/>
    <pivotTable tabId="13" name="weekly trend"/>
    <pivotTable tabId="13" name="selected rep"/>
    <pivotTable tabId="13" name="rep satisfaction"/>
  </pivotTables>
  <data>
    <olap pivotCacheId="69785438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CCF7F468-249A-4E5D-A6A4-F663B9F692A4}" cache="Slicer_Representative" caption="Representativ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BE35B26B-4576-4FD5-8D40-D44363A81CD3}" cache="Slicer_Representative" caption="Representative" level="1" style="SlicerStyleLight5 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70E37-6D76-4F15-8E12-AF01893BA406}">
  <dimension ref="A3:K125"/>
  <sheetViews>
    <sheetView topLeftCell="A2" zoomScale="21" zoomScaleNormal="21" workbookViewId="0">
      <selection activeCell="K115" sqref="K115"/>
    </sheetView>
  </sheetViews>
  <sheetFormatPr defaultRowHeight="14.5" x14ac:dyDescent="0.35"/>
  <cols>
    <col min="1" max="1" width="28.25" bestFit="1" customWidth="1"/>
    <col min="2" max="2" width="17.58203125" bestFit="1" customWidth="1"/>
    <col min="3" max="4" width="19.1640625" bestFit="1" customWidth="1"/>
    <col min="5" max="5" width="13.58203125" bestFit="1" customWidth="1"/>
    <col min="6" max="6" width="6.25" bestFit="1" customWidth="1"/>
    <col min="7" max="7" width="28.25" bestFit="1" customWidth="1"/>
    <col min="8" max="8" width="17.58203125" bestFit="1" customWidth="1"/>
    <col min="9" max="9" width="10.83203125" bestFit="1" customWidth="1"/>
    <col min="10" max="149" width="15.58203125" bestFit="1" customWidth="1"/>
    <col min="150" max="150" width="10.5" bestFit="1" customWidth="1"/>
  </cols>
  <sheetData>
    <row r="3" spans="1:5" x14ac:dyDescent="0.35">
      <c r="A3" t="s">
        <v>1041</v>
      </c>
      <c r="B3" t="s">
        <v>1042</v>
      </c>
      <c r="C3" t="s">
        <v>1045</v>
      </c>
      <c r="D3" t="s">
        <v>1043</v>
      </c>
      <c r="E3" t="s">
        <v>1044</v>
      </c>
    </row>
    <row r="4" spans="1:5" x14ac:dyDescent="0.35">
      <c r="A4" s="21">
        <v>1000</v>
      </c>
      <c r="B4" s="22">
        <v>96623</v>
      </c>
      <c r="C4" s="21">
        <v>89850</v>
      </c>
      <c r="D4" s="23">
        <v>3.8854000000000033</v>
      </c>
      <c r="E4" s="21">
        <v>307</v>
      </c>
    </row>
    <row r="9" spans="1:5" x14ac:dyDescent="0.35">
      <c r="A9" t="s">
        <v>1041</v>
      </c>
      <c r="B9" t="s">
        <v>1042</v>
      </c>
      <c r="C9" t="s">
        <v>1045</v>
      </c>
      <c r="D9" t="s">
        <v>1043</v>
      </c>
      <c r="E9" t="s">
        <v>1044</v>
      </c>
    </row>
    <row r="10" spans="1:5" x14ac:dyDescent="0.35">
      <c r="A10" s="21">
        <v>218</v>
      </c>
      <c r="B10" s="22">
        <v>20581</v>
      </c>
      <c r="C10" s="21">
        <v>19300</v>
      </c>
      <c r="D10" s="23">
        <v>3.8706422018348627</v>
      </c>
      <c r="E10" s="21">
        <v>74</v>
      </c>
    </row>
    <row r="24" spans="1:8" x14ac:dyDescent="0.35">
      <c r="A24" s="24" t="s">
        <v>1059</v>
      </c>
      <c r="B24" t="s">
        <v>1041</v>
      </c>
      <c r="C24" t="s">
        <v>1060</v>
      </c>
      <c r="G24" s="24" t="s">
        <v>1059</v>
      </c>
      <c r="H24" t="s">
        <v>1041</v>
      </c>
    </row>
    <row r="25" spans="1:8" x14ac:dyDescent="0.35">
      <c r="A25" s="25" t="s">
        <v>1047</v>
      </c>
      <c r="B25" s="21">
        <v>19</v>
      </c>
      <c r="C25" s="21">
        <v>19</v>
      </c>
      <c r="G25" s="25" t="s">
        <v>1062</v>
      </c>
      <c r="H25" s="21">
        <v>24</v>
      </c>
    </row>
    <row r="26" spans="1:8" x14ac:dyDescent="0.35">
      <c r="A26" s="25" t="s">
        <v>1048</v>
      </c>
      <c r="B26" s="21">
        <v>10</v>
      </c>
      <c r="C26" s="21">
        <v>10</v>
      </c>
      <c r="G26" s="25" t="s">
        <v>1066</v>
      </c>
      <c r="H26" s="21">
        <v>44</v>
      </c>
    </row>
    <row r="27" spans="1:8" x14ac:dyDescent="0.35">
      <c r="A27" s="25" t="s">
        <v>1049</v>
      </c>
      <c r="B27" s="21">
        <v>40</v>
      </c>
      <c r="C27" s="21">
        <v>40</v>
      </c>
      <c r="G27" s="25" t="s">
        <v>1067</v>
      </c>
      <c r="H27" s="21">
        <v>36</v>
      </c>
    </row>
    <row r="28" spans="1:8" x14ac:dyDescent="0.35">
      <c r="A28" s="25" t="s">
        <v>1050</v>
      </c>
      <c r="B28" s="21">
        <v>40</v>
      </c>
      <c r="C28" s="21">
        <v>40</v>
      </c>
      <c r="G28" s="25" t="s">
        <v>1065</v>
      </c>
      <c r="H28" s="21">
        <v>33</v>
      </c>
    </row>
    <row r="29" spans="1:8" x14ac:dyDescent="0.35">
      <c r="A29" s="25" t="s">
        <v>1051</v>
      </c>
      <c r="B29" s="21">
        <v>13</v>
      </c>
      <c r="C29" s="21">
        <v>13</v>
      </c>
      <c r="G29" s="25" t="s">
        <v>1061</v>
      </c>
      <c r="H29" s="21">
        <v>29</v>
      </c>
    </row>
    <row r="30" spans="1:8" x14ac:dyDescent="0.35">
      <c r="A30" s="25" t="s">
        <v>1052</v>
      </c>
      <c r="B30" s="21">
        <v>12</v>
      </c>
      <c r="C30" s="21">
        <v>12</v>
      </c>
      <c r="G30" s="25" t="s">
        <v>1063</v>
      </c>
      <c r="H30" s="21">
        <v>24</v>
      </c>
    </row>
    <row r="31" spans="1:8" x14ac:dyDescent="0.35">
      <c r="A31" s="25" t="s">
        <v>1053</v>
      </c>
      <c r="B31" s="21">
        <v>9</v>
      </c>
      <c r="C31" s="21">
        <v>9</v>
      </c>
      <c r="G31" s="25" t="s">
        <v>1064</v>
      </c>
      <c r="H31" s="21">
        <v>28</v>
      </c>
    </row>
    <row r="32" spans="1:8" x14ac:dyDescent="0.35">
      <c r="A32" s="25" t="s">
        <v>1054</v>
      </c>
      <c r="B32" s="21">
        <v>13</v>
      </c>
      <c r="C32" s="21">
        <v>13</v>
      </c>
      <c r="G32" s="25" t="s">
        <v>1046</v>
      </c>
      <c r="H32" s="21">
        <v>218</v>
      </c>
    </row>
    <row r="33" spans="1:3" x14ac:dyDescent="0.35">
      <c r="A33" s="25" t="s">
        <v>1055</v>
      </c>
      <c r="B33" s="21">
        <v>18</v>
      </c>
      <c r="C33" s="21">
        <v>18</v>
      </c>
    </row>
    <row r="34" spans="1:3" x14ac:dyDescent="0.35">
      <c r="A34" s="25" t="s">
        <v>1056</v>
      </c>
      <c r="B34" s="21">
        <v>21</v>
      </c>
      <c r="C34" s="21">
        <v>21</v>
      </c>
    </row>
    <row r="35" spans="1:3" x14ac:dyDescent="0.35">
      <c r="A35" s="25" t="s">
        <v>1057</v>
      </c>
      <c r="B35" s="21">
        <v>14</v>
      </c>
      <c r="C35" s="21">
        <v>14</v>
      </c>
    </row>
    <row r="36" spans="1:3" x14ac:dyDescent="0.35">
      <c r="A36" s="25" t="s">
        <v>1058</v>
      </c>
      <c r="B36" s="21">
        <v>9</v>
      </c>
      <c r="C36" s="21">
        <v>9</v>
      </c>
    </row>
    <row r="37" spans="1:3" x14ac:dyDescent="0.35">
      <c r="A37" s="25" t="s">
        <v>1046</v>
      </c>
      <c r="B37" s="21">
        <v>218</v>
      </c>
      <c r="C37" s="21">
        <v>218</v>
      </c>
    </row>
    <row r="50" spans="1:10" x14ac:dyDescent="0.35">
      <c r="F50" t="s">
        <v>1068</v>
      </c>
      <c r="I50" t="s">
        <v>1074</v>
      </c>
      <c r="J50" t="str">
        <f>A66</f>
        <v>R02</v>
      </c>
    </row>
    <row r="52" spans="1:10" x14ac:dyDescent="0.35">
      <c r="A52" s="24" t="s">
        <v>1059</v>
      </c>
      <c r="B52" t="s">
        <v>1041</v>
      </c>
      <c r="C52" t="s">
        <v>1042</v>
      </c>
      <c r="F52" t="s">
        <v>1069</v>
      </c>
      <c r="G52" t="s">
        <v>1070</v>
      </c>
      <c r="H52" t="s">
        <v>1071</v>
      </c>
      <c r="I52" t="s">
        <v>1072</v>
      </c>
      <c r="J52" t="s">
        <v>1073</v>
      </c>
    </row>
    <row r="53" spans="1:10" x14ac:dyDescent="0.35">
      <c r="A53" s="25" t="s">
        <v>11</v>
      </c>
      <c r="B53" s="21">
        <v>189</v>
      </c>
      <c r="C53" s="22">
        <v>18415</v>
      </c>
      <c r="F53" t="str">
        <f>A53</f>
        <v>R01</v>
      </c>
      <c r="G53">
        <f t="shared" ref="G53:H53" si="0">B53</f>
        <v>189</v>
      </c>
      <c r="H53" s="26">
        <f t="shared" si="0"/>
        <v>18415</v>
      </c>
      <c r="I53" t="e">
        <f>IF(F53=$J$50,G53,NA())</f>
        <v>#N/A</v>
      </c>
      <c r="J53" t="e">
        <f>IF(F53=$J$50,H53,NA())</f>
        <v>#N/A</v>
      </c>
    </row>
    <row r="54" spans="1:10" x14ac:dyDescent="0.35">
      <c r="A54" s="25" t="s">
        <v>9</v>
      </c>
      <c r="B54" s="21">
        <v>218</v>
      </c>
      <c r="C54" s="22">
        <v>20581</v>
      </c>
      <c r="F54" t="str">
        <f t="shared" ref="F54:F57" si="1">A54</f>
        <v>R02</v>
      </c>
      <c r="G54">
        <f t="shared" ref="G54:G57" si="2">B54</f>
        <v>218</v>
      </c>
      <c r="H54" s="26">
        <f t="shared" ref="H54:H57" si="3">C54</f>
        <v>20581</v>
      </c>
      <c r="I54">
        <f t="shared" ref="I54:I57" si="4">IF(F54=$J$50,G54,NA())</f>
        <v>218</v>
      </c>
      <c r="J54">
        <f t="shared" ref="J54:J57" si="5">IF(F54=$J$50,H54,NA())</f>
        <v>20581</v>
      </c>
    </row>
    <row r="55" spans="1:10" x14ac:dyDescent="0.35">
      <c r="A55" s="25" t="s">
        <v>6</v>
      </c>
      <c r="B55" s="21">
        <v>207</v>
      </c>
      <c r="C55" s="22">
        <v>20872</v>
      </c>
      <c r="F55" t="str">
        <f t="shared" si="1"/>
        <v>R03</v>
      </c>
      <c r="G55">
        <f t="shared" si="2"/>
        <v>207</v>
      </c>
      <c r="H55" s="26">
        <f t="shared" si="3"/>
        <v>20872</v>
      </c>
      <c r="I55" t="e">
        <f t="shared" si="4"/>
        <v>#N/A</v>
      </c>
      <c r="J55" t="e">
        <f t="shared" si="5"/>
        <v>#N/A</v>
      </c>
    </row>
    <row r="56" spans="1:10" x14ac:dyDescent="0.35">
      <c r="A56" s="25" t="s">
        <v>13</v>
      </c>
      <c r="B56" s="21">
        <v>186</v>
      </c>
      <c r="C56" s="22">
        <v>16651</v>
      </c>
      <c r="F56" t="str">
        <f t="shared" si="1"/>
        <v>R04</v>
      </c>
      <c r="G56">
        <f t="shared" si="2"/>
        <v>186</v>
      </c>
      <c r="H56" s="26">
        <f t="shared" si="3"/>
        <v>16651</v>
      </c>
      <c r="I56" t="e">
        <f t="shared" si="4"/>
        <v>#N/A</v>
      </c>
      <c r="J56" t="e">
        <f t="shared" si="5"/>
        <v>#N/A</v>
      </c>
    </row>
    <row r="57" spans="1:10" x14ac:dyDescent="0.35">
      <c r="A57" s="25" t="s">
        <v>10</v>
      </c>
      <c r="B57" s="21">
        <v>200</v>
      </c>
      <c r="C57" s="22">
        <v>20104</v>
      </c>
      <c r="F57" t="str">
        <f t="shared" si="1"/>
        <v>R05</v>
      </c>
      <c r="G57">
        <f t="shared" si="2"/>
        <v>200</v>
      </c>
      <c r="H57" s="26">
        <f t="shared" si="3"/>
        <v>20104</v>
      </c>
      <c r="I57" t="e">
        <f t="shared" si="4"/>
        <v>#N/A</v>
      </c>
      <c r="J57" t="e">
        <f t="shared" si="5"/>
        <v>#N/A</v>
      </c>
    </row>
    <row r="58" spans="1:10" x14ac:dyDescent="0.35">
      <c r="A58" s="25" t="s">
        <v>1046</v>
      </c>
      <c r="B58" s="21">
        <v>1000</v>
      </c>
      <c r="C58" s="22">
        <v>96623</v>
      </c>
    </row>
    <row r="65" spans="1:11" x14ac:dyDescent="0.35">
      <c r="A65" s="24" t="s">
        <v>1059</v>
      </c>
    </row>
    <row r="66" spans="1:11" x14ac:dyDescent="0.35">
      <c r="A66" s="27" t="s">
        <v>9</v>
      </c>
    </row>
    <row r="68" spans="1:11" x14ac:dyDescent="0.35">
      <c r="H68">
        <f>Assets!I3</f>
        <v>0</v>
      </c>
    </row>
    <row r="69" spans="1:11" x14ac:dyDescent="0.35">
      <c r="K69" s="35"/>
    </row>
    <row r="77" spans="1:11" x14ac:dyDescent="0.35">
      <c r="A77" s="24" t="s">
        <v>1041</v>
      </c>
      <c r="B77" s="24" t="s">
        <v>1075</v>
      </c>
    </row>
    <row r="78" spans="1:11" x14ac:dyDescent="0.35">
      <c r="A78" s="24" t="s">
        <v>1059</v>
      </c>
      <c r="B78" t="s">
        <v>999</v>
      </c>
      <c r="C78" t="s">
        <v>998</v>
      </c>
      <c r="D78" t="s">
        <v>1046</v>
      </c>
    </row>
    <row r="79" spans="1:11" x14ac:dyDescent="0.35">
      <c r="A79" s="25" t="s">
        <v>1002</v>
      </c>
      <c r="B79" s="21">
        <v>144</v>
      </c>
      <c r="C79" s="21">
        <v>132</v>
      </c>
      <c r="D79" s="21">
        <v>276</v>
      </c>
    </row>
    <row r="80" spans="1:11" x14ac:dyDescent="0.35">
      <c r="A80" s="25" t="s">
        <v>1001</v>
      </c>
      <c r="B80" s="21">
        <v>325</v>
      </c>
      <c r="C80" s="21">
        <v>63</v>
      </c>
      <c r="D80" s="21">
        <v>388</v>
      </c>
    </row>
    <row r="81" spans="1:4" x14ac:dyDescent="0.35">
      <c r="A81" s="25" t="s">
        <v>1000</v>
      </c>
      <c r="B81" s="21">
        <v>129</v>
      </c>
      <c r="C81" s="21">
        <v>206</v>
      </c>
      <c r="D81" s="21">
        <v>335</v>
      </c>
    </row>
    <row r="82" spans="1:4" x14ac:dyDescent="0.35">
      <c r="A82" s="25" t="s">
        <v>1046</v>
      </c>
      <c r="B82" s="21">
        <v>598</v>
      </c>
      <c r="C82" s="21">
        <v>401</v>
      </c>
      <c r="D82" s="21">
        <v>999</v>
      </c>
    </row>
    <row r="89" spans="1:4" x14ac:dyDescent="0.35">
      <c r="A89" s="24" t="s">
        <v>1059</v>
      </c>
      <c r="B89" t="s">
        <v>1041</v>
      </c>
    </row>
    <row r="90" spans="1:4" x14ac:dyDescent="0.35">
      <c r="A90" s="25">
        <v>1</v>
      </c>
      <c r="B90" s="21">
        <v>3</v>
      </c>
    </row>
    <row r="91" spans="1:4" x14ac:dyDescent="0.35">
      <c r="A91" s="25">
        <v>2</v>
      </c>
      <c r="B91" s="21">
        <v>19</v>
      </c>
    </row>
    <row r="92" spans="1:4" x14ac:dyDescent="0.35">
      <c r="A92" s="25">
        <v>3</v>
      </c>
      <c r="B92" s="21">
        <v>35</v>
      </c>
    </row>
    <row r="93" spans="1:4" x14ac:dyDescent="0.35">
      <c r="A93" s="25">
        <v>4</v>
      </c>
      <c r="B93" s="21">
        <v>87</v>
      </c>
    </row>
    <row r="94" spans="1:4" x14ac:dyDescent="0.35">
      <c r="A94" s="25">
        <v>5</v>
      </c>
      <c r="B94" s="21">
        <v>74</v>
      </c>
    </row>
    <row r="95" spans="1:4" x14ac:dyDescent="0.35">
      <c r="A95" s="25" t="s">
        <v>1046</v>
      </c>
      <c r="B95" s="21">
        <v>218</v>
      </c>
    </row>
    <row r="106" spans="1:7" x14ac:dyDescent="0.35">
      <c r="A106" s="24" t="s">
        <v>1042</v>
      </c>
      <c r="B106" s="24" t="s">
        <v>1075</v>
      </c>
    </row>
    <row r="107" spans="1:7" x14ac:dyDescent="0.35">
      <c r="A107" s="24" t="s">
        <v>1059</v>
      </c>
      <c r="B107" t="s">
        <v>11</v>
      </c>
      <c r="C107" t="s">
        <v>9</v>
      </c>
      <c r="D107" t="s">
        <v>6</v>
      </c>
      <c r="E107" t="s">
        <v>13</v>
      </c>
      <c r="F107" t="s">
        <v>10</v>
      </c>
      <c r="G107" t="s">
        <v>1046</v>
      </c>
    </row>
    <row r="108" spans="1:7" x14ac:dyDescent="0.35">
      <c r="A108" s="25" t="s">
        <v>1002</v>
      </c>
    </row>
    <row r="109" spans="1:7" x14ac:dyDescent="0.35">
      <c r="A109" s="28" t="s">
        <v>20</v>
      </c>
      <c r="B109" s="22">
        <v>891</v>
      </c>
      <c r="C109" s="22">
        <v>1332</v>
      </c>
      <c r="D109" s="22">
        <v>1282</v>
      </c>
      <c r="E109" s="22">
        <v>739</v>
      </c>
      <c r="F109" s="22">
        <v>560</v>
      </c>
      <c r="G109" s="22">
        <v>4804</v>
      </c>
    </row>
    <row r="110" spans="1:7" x14ac:dyDescent="0.35">
      <c r="A110" s="28" t="s">
        <v>12</v>
      </c>
      <c r="B110" s="22">
        <v>1991</v>
      </c>
      <c r="C110" s="22">
        <v>1886</v>
      </c>
      <c r="D110" s="22">
        <v>1206</v>
      </c>
      <c r="E110" s="22">
        <v>884</v>
      </c>
      <c r="F110" s="22">
        <v>1722</v>
      </c>
      <c r="G110" s="22">
        <v>7689</v>
      </c>
    </row>
    <row r="111" spans="1:7" x14ac:dyDescent="0.35">
      <c r="A111" s="28" t="s">
        <v>8</v>
      </c>
      <c r="B111" s="22">
        <v>1163</v>
      </c>
      <c r="C111" s="22">
        <v>1180</v>
      </c>
      <c r="D111" s="22">
        <v>1616</v>
      </c>
      <c r="E111" s="22">
        <v>1043</v>
      </c>
      <c r="F111" s="22">
        <v>1747</v>
      </c>
      <c r="G111" s="22">
        <v>6749</v>
      </c>
    </row>
    <row r="112" spans="1:7" x14ac:dyDescent="0.35">
      <c r="A112" s="28" t="s">
        <v>16</v>
      </c>
      <c r="B112" s="22">
        <v>1438</v>
      </c>
      <c r="C112" s="22">
        <v>1616</v>
      </c>
      <c r="D112" s="22">
        <v>866</v>
      </c>
      <c r="E112" s="22">
        <v>829</v>
      </c>
      <c r="F112" s="22">
        <v>2070</v>
      </c>
      <c r="G112" s="22">
        <v>6819</v>
      </c>
    </row>
    <row r="113" spans="1:7" x14ac:dyDescent="0.35">
      <c r="A113" s="25" t="s">
        <v>1001</v>
      </c>
    </row>
    <row r="114" spans="1:7" x14ac:dyDescent="0.35">
      <c r="A114" s="28" t="s">
        <v>24</v>
      </c>
      <c r="B114" s="22">
        <v>1233</v>
      </c>
      <c r="C114" s="22">
        <v>223</v>
      </c>
      <c r="D114" s="22">
        <v>1680</v>
      </c>
      <c r="E114" s="22">
        <v>990</v>
      </c>
      <c r="F114" s="22">
        <v>1508</v>
      </c>
      <c r="G114" s="22">
        <v>5634</v>
      </c>
    </row>
    <row r="115" spans="1:7" x14ac:dyDescent="0.35">
      <c r="A115" s="28" t="s">
        <v>15</v>
      </c>
      <c r="B115" s="22">
        <v>1598</v>
      </c>
      <c r="C115" s="22">
        <v>1907</v>
      </c>
      <c r="D115" s="22">
        <v>869</v>
      </c>
      <c r="E115" s="22">
        <v>1426</v>
      </c>
      <c r="F115" s="22">
        <v>1416</v>
      </c>
      <c r="G115" s="22">
        <v>7216</v>
      </c>
    </row>
    <row r="116" spans="1:7" x14ac:dyDescent="0.35">
      <c r="A116" s="28" t="s">
        <v>5</v>
      </c>
      <c r="B116" s="22">
        <v>900</v>
      </c>
      <c r="C116" s="22">
        <v>1016</v>
      </c>
      <c r="D116" s="22">
        <v>960</v>
      </c>
      <c r="E116" s="22">
        <v>940</v>
      </c>
      <c r="F116" s="22">
        <v>1193</v>
      </c>
      <c r="G116" s="22">
        <v>5009</v>
      </c>
    </row>
    <row r="117" spans="1:7" x14ac:dyDescent="0.35">
      <c r="A117" s="28" t="s">
        <v>18</v>
      </c>
      <c r="B117" s="22">
        <v>900</v>
      </c>
      <c r="C117" s="22">
        <v>1374</v>
      </c>
      <c r="D117" s="22">
        <v>1617</v>
      </c>
      <c r="E117" s="22">
        <v>1314</v>
      </c>
      <c r="F117" s="22">
        <v>941</v>
      </c>
      <c r="G117" s="22">
        <v>6146</v>
      </c>
    </row>
    <row r="118" spans="1:7" x14ac:dyDescent="0.35">
      <c r="A118" s="28" t="s">
        <v>14</v>
      </c>
      <c r="B118" s="22">
        <v>1255</v>
      </c>
      <c r="C118" s="22">
        <v>516</v>
      </c>
      <c r="D118" s="22">
        <v>1874</v>
      </c>
      <c r="E118" s="22">
        <v>1863</v>
      </c>
      <c r="F118" s="22">
        <v>1722</v>
      </c>
      <c r="G118" s="22">
        <v>7230</v>
      </c>
    </row>
    <row r="119" spans="1:7" x14ac:dyDescent="0.35">
      <c r="A119" s="28" t="s">
        <v>19</v>
      </c>
      <c r="B119" s="22">
        <v>1138</v>
      </c>
      <c r="C119" s="22">
        <v>1898</v>
      </c>
      <c r="D119" s="22">
        <v>1482</v>
      </c>
      <c r="E119" s="22">
        <v>846</v>
      </c>
      <c r="F119" s="22">
        <v>1154</v>
      </c>
      <c r="G119" s="22">
        <v>6518</v>
      </c>
    </row>
    <row r="120" spans="1:7" x14ac:dyDescent="0.35">
      <c r="A120" s="25" t="s">
        <v>1000</v>
      </c>
    </row>
    <row r="121" spans="1:7" x14ac:dyDescent="0.35">
      <c r="A121" s="28" t="s">
        <v>17</v>
      </c>
      <c r="B121" s="22">
        <v>1655</v>
      </c>
      <c r="C121" s="22">
        <v>805</v>
      </c>
      <c r="D121" s="22">
        <v>2263</v>
      </c>
      <c r="E121" s="22">
        <v>987</v>
      </c>
      <c r="F121" s="22">
        <v>1075</v>
      </c>
      <c r="G121" s="22">
        <v>6785</v>
      </c>
    </row>
    <row r="122" spans="1:7" x14ac:dyDescent="0.35">
      <c r="A122" s="28" t="s">
        <v>23</v>
      </c>
      <c r="B122" s="22">
        <v>1104</v>
      </c>
      <c r="C122" s="22">
        <v>2280</v>
      </c>
      <c r="D122" s="22">
        <v>1445</v>
      </c>
      <c r="E122" s="22">
        <v>1722</v>
      </c>
      <c r="F122" s="22">
        <v>1196</v>
      </c>
      <c r="G122" s="22">
        <v>7747</v>
      </c>
    </row>
    <row r="123" spans="1:7" x14ac:dyDescent="0.35">
      <c r="A123" s="28" t="s">
        <v>7</v>
      </c>
      <c r="B123" s="22">
        <v>372</v>
      </c>
      <c r="C123" s="22">
        <v>1818</v>
      </c>
      <c r="D123" s="22">
        <v>1346</v>
      </c>
      <c r="E123" s="22">
        <v>1156</v>
      </c>
      <c r="F123" s="22">
        <v>1484</v>
      </c>
      <c r="G123" s="22">
        <v>6176</v>
      </c>
    </row>
    <row r="124" spans="1:7" x14ac:dyDescent="0.35">
      <c r="A124" s="28" t="s">
        <v>22</v>
      </c>
      <c r="B124" s="22">
        <v>1415</v>
      </c>
      <c r="C124" s="22">
        <v>1271</v>
      </c>
      <c r="D124" s="22">
        <v>1214</v>
      </c>
      <c r="E124" s="22">
        <v>1135</v>
      </c>
      <c r="F124" s="22">
        <v>1566</v>
      </c>
      <c r="G124" s="22">
        <v>6601</v>
      </c>
    </row>
    <row r="125" spans="1:7" x14ac:dyDescent="0.35">
      <c r="A125" s="28" t="s">
        <v>21</v>
      </c>
      <c r="B125" s="22">
        <v>1362</v>
      </c>
      <c r="C125" s="22">
        <v>1363</v>
      </c>
      <c r="D125" s="22">
        <v>1152</v>
      </c>
      <c r="E125" s="22">
        <v>777</v>
      </c>
      <c r="F125" s="22">
        <v>750</v>
      </c>
      <c r="G125" s="22">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7" sqref="C7"/>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1040</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D4215-8DA6-463E-AE00-7CCDFA1F65AF}">
  <dimension ref="A1:AO227"/>
  <sheetViews>
    <sheetView tabSelected="1" topLeftCell="A2" zoomScale="63" zoomScaleNormal="63" workbookViewId="0">
      <selection activeCell="Z25" sqref="Z25"/>
    </sheetView>
  </sheetViews>
  <sheetFormatPr defaultRowHeight="14.5" x14ac:dyDescent="0.35"/>
  <cols>
    <col min="1" max="1" width="4.1640625" customWidth="1"/>
    <col min="2" max="2" width="3.83203125" customWidth="1"/>
    <col min="3" max="3" width="13.9140625" customWidth="1"/>
  </cols>
  <sheetData>
    <row r="1" spans="1:41" ht="34" customHeight="1" x14ac:dyDescent="0.55000000000000004">
      <c r="A1" s="20" t="s">
        <v>1040</v>
      </c>
      <c r="B1" s="20"/>
      <c r="C1" s="20"/>
      <c r="D1" s="20"/>
      <c r="E1" s="36"/>
      <c r="F1" s="37" t="s">
        <v>1078</v>
      </c>
      <c r="G1" s="38"/>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row>
    <row r="2" spans="1:41" x14ac:dyDescent="0.3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row>
    <row r="3" spans="1:41" x14ac:dyDescent="0.3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row>
    <row r="4" spans="1:41" x14ac:dyDescent="0.35">
      <c r="A4" s="20"/>
      <c r="B4" s="20"/>
      <c r="C4" s="20" t="s">
        <v>1040</v>
      </c>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row>
    <row r="5" spans="1:41" x14ac:dyDescent="0.3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row>
    <row r="6" spans="1:41" x14ac:dyDescent="0.3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row>
    <row r="7" spans="1:41" x14ac:dyDescent="0.3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row>
    <row r="8" spans="1:41" x14ac:dyDescent="0.3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row>
    <row r="9" spans="1:41" x14ac:dyDescent="0.3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row>
    <row r="10" spans="1:41" x14ac:dyDescent="0.3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row>
    <row r="11" spans="1:41" x14ac:dyDescent="0.3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row>
    <row r="12" spans="1:41" x14ac:dyDescent="0.3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row>
    <row r="13" spans="1:41" x14ac:dyDescent="0.3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row>
    <row r="14" spans="1:41" x14ac:dyDescent="0.3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row>
    <row r="15" spans="1:41" x14ac:dyDescent="0.3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row>
    <row r="16" spans="1:41" x14ac:dyDescent="0.3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row>
    <row r="17" spans="1:41" x14ac:dyDescent="0.35">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row>
    <row r="18" spans="1:41" x14ac:dyDescent="0.35">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row>
    <row r="19" spans="1:41" x14ac:dyDescent="0.35">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row>
    <row r="20" spans="1:41" x14ac:dyDescent="0.35">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row>
    <row r="21" spans="1:41" x14ac:dyDescent="0.35">
      <c r="A21" s="20"/>
      <c r="B21" s="20"/>
      <c r="C21" s="20"/>
      <c r="D21" s="20"/>
      <c r="E21" s="20"/>
      <c r="F21" s="20"/>
      <c r="G21" s="20"/>
      <c r="H21" s="20"/>
      <c r="I21" s="20"/>
      <c r="J21" s="20"/>
      <c r="K21" s="20"/>
      <c r="L21" s="20"/>
      <c r="M21" s="20"/>
      <c r="N21" s="20"/>
      <c r="O21" s="20"/>
      <c r="P21" s="20"/>
      <c r="Q21" s="34" t="s">
        <v>1077</v>
      </c>
      <c r="R21" s="34" t="s">
        <v>9</v>
      </c>
      <c r="S21" s="34" t="s">
        <v>6</v>
      </c>
      <c r="T21" s="34" t="s">
        <v>13</v>
      </c>
      <c r="U21" s="34" t="s">
        <v>10</v>
      </c>
      <c r="V21" s="34" t="s">
        <v>1076</v>
      </c>
      <c r="W21" s="20"/>
      <c r="X21" s="20"/>
      <c r="Y21" s="20"/>
      <c r="Z21" s="20"/>
      <c r="AA21" s="20"/>
      <c r="AB21" s="20"/>
      <c r="AC21" s="20"/>
      <c r="AD21" s="20"/>
      <c r="AE21" s="20"/>
      <c r="AF21" s="20"/>
      <c r="AG21" s="20"/>
      <c r="AH21" s="20"/>
      <c r="AI21" s="20"/>
      <c r="AJ21" s="20"/>
      <c r="AK21" s="20"/>
      <c r="AL21" s="20"/>
      <c r="AM21" s="20"/>
      <c r="AN21" s="20"/>
      <c r="AO21" s="20"/>
    </row>
    <row r="22" spans="1:41" x14ac:dyDescent="0.35">
      <c r="A22" s="20"/>
      <c r="B22" s="20"/>
      <c r="C22" s="20"/>
      <c r="D22" s="20"/>
      <c r="E22" s="20"/>
      <c r="F22" s="20"/>
      <c r="G22" s="20"/>
      <c r="H22" s="20"/>
      <c r="I22" s="20"/>
      <c r="J22" s="20"/>
      <c r="K22" s="20"/>
      <c r="L22" s="20"/>
      <c r="M22" s="20"/>
      <c r="N22" s="20"/>
      <c r="O22" s="20"/>
      <c r="P22" s="33" t="str">
        <f>Pivots!A108</f>
        <v>Cincinnati</v>
      </c>
      <c r="Q22" s="30"/>
      <c r="R22" s="30"/>
      <c r="S22" s="30"/>
      <c r="T22" s="30"/>
      <c r="U22" s="30"/>
      <c r="V22" s="30"/>
      <c r="W22" s="29"/>
      <c r="X22" s="20"/>
      <c r="Y22" s="20"/>
      <c r="Z22" s="20"/>
      <c r="AA22" s="20"/>
      <c r="AB22" s="20"/>
      <c r="AC22" s="20"/>
      <c r="AD22" s="20"/>
      <c r="AE22" s="20"/>
      <c r="AF22" s="20"/>
      <c r="AG22" s="20"/>
      <c r="AH22" s="20"/>
      <c r="AI22" s="20"/>
      <c r="AJ22" s="20"/>
      <c r="AK22" s="20"/>
      <c r="AL22" s="20"/>
      <c r="AM22" s="20"/>
      <c r="AN22" s="20"/>
      <c r="AO22" s="20"/>
    </row>
    <row r="23" spans="1:41" x14ac:dyDescent="0.35">
      <c r="A23" s="20"/>
      <c r="B23" s="20"/>
      <c r="C23" s="20"/>
      <c r="D23" s="20"/>
      <c r="E23" s="20"/>
      <c r="F23" s="20"/>
      <c r="G23" s="20"/>
      <c r="H23" s="20"/>
      <c r="I23" s="20"/>
      <c r="J23" s="20"/>
      <c r="K23" s="20"/>
      <c r="L23" s="20"/>
      <c r="M23" s="20"/>
      <c r="N23" s="20"/>
      <c r="O23" s="20"/>
      <c r="P23" s="31" t="str">
        <f>Pivots!A109</f>
        <v>C0003</v>
      </c>
      <c r="Q23" s="32">
        <f>Pivots!B109</f>
        <v>891</v>
      </c>
      <c r="R23" s="32">
        <f>Pivots!C109</f>
        <v>1332</v>
      </c>
      <c r="S23" s="32">
        <f>Pivots!D109</f>
        <v>1282</v>
      </c>
      <c r="T23" s="32">
        <f>Pivots!E109</f>
        <v>739</v>
      </c>
      <c r="U23" s="32">
        <f>Pivots!F109</f>
        <v>560</v>
      </c>
      <c r="V23" s="32">
        <f>Pivots!G109</f>
        <v>4804</v>
      </c>
      <c r="W23" s="20"/>
      <c r="X23" s="20"/>
      <c r="Y23" s="20"/>
      <c r="Z23" s="20"/>
      <c r="AA23" s="20"/>
      <c r="AB23" s="20"/>
      <c r="AC23" s="20"/>
      <c r="AD23" s="20"/>
      <c r="AE23" s="20"/>
      <c r="AF23" s="20"/>
      <c r="AG23" s="20"/>
      <c r="AH23" s="20"/>
      <c r="AI23" s="20"/>
      <c r="AJ23" s="20"/>
      <c r="AK23" s="20"/>
      <c r="AL23" s="20"/>
      <c r="AM23" s="20"/>
      <c r="AN23" s="20"/>
      <c r="AO23" s="20"/>
    </row>
    <row r="24" spans="1:41" x14ac:dyDescent="0.35">
      <c r="A24" s="20"/>
      <c r="B24" s="20"/>
      <c r="C24" s="20"/>
      <c r="D24" s="20"/>
      <c r="E24" s="20"/>
      <c r="F24" s="20"/>
      <c r="G24" s="20"/>
      <c r="H24" s="20"/>
      <c r="I24" s="20"/>
      <c r="J24" s="20"/>
      <c r="K24" s="20"/>
      <c r="L24" s="20"/>
      <c r="M24" s="20"/>
      <c r="N24" s="20"/>
      <c r="O24" s="20"/>
      <c r="P24" s="31" t="str">
        <f>Pivots!A110</f>
        <v>C0004</v>
      </c>
      <c r="Q24" s="32">
        <f>Pivots!B110</f>
        <v>1991</v>
      </c>
      <c r="R24" s="32">
        <f>Pivots!C110</f>
        <v>1886</v>
      </c>
      <c r="S24" s="32">
        <f>Pivots!D110</f>
        <v>1206</v>
      </c>
      <c r="T24" s="32">
        <f>Pivots!E110</f>
        <v>884</v>
      </c>
      <c r="U24" s="32">
        <f>Pivots!F110</f>
        <v>1722</v>
      </c>
      <c r="V24" s="32">
        <f>Pivots!G110</f>
        <v>7689</v>
      </c>
      <c r="W24" s="20"/>
      <c r="X24" s="20"/>
      <c r="Y24" s="20"/>
      <c r="Z24" s="20"/>
      <c r="AA24" s="20"/>
      <c r="AB24" s="20"/>
      <c r="AC24" s="20"/>
      <c r="AD24" s="20"/>
      <c r="AE24" s="20"/>
      <c r="AF24" s="20"/>
      <c r="AG24" s="20"/>
      <c r="AH24" s="20"/>
      <c r="AI24" s="20"/>
      <c r="AJ24" s="20"/>
      <c r="AK24" s="20"/>
      <c r="AL24" s="20"/>
      <c r="AM24" s="20"/>
      <c r="AN24" s="20"/>
      <c r="AO24" s="20"/>
    </row>
    <row r="25" spans="1:41" x14ac:dyDescent="0.35">
      <c r="A25" s="20"/>
      <c r="B25" s="20"/>
      <c r="C25" s="20"/>
      <c r="D25" s="20"/>
      <c r="E25" s="20"/>
      <c r="F25" s="20"/>
      <c r="G25" s="20"/>
      <c r="H25" s="20"/>
      <c r="I25" s="20"/>
      <c r="J25" s="20"/>
      <c r="K25" s="20"/>
      <c r="L25" s="20"/>
      <c r="M25" s="20"/>
      <c r="N25" s="20"/>
      <c r="O25" s="20"/>
      <c r="P25" s="31" t="str">
        <f>Pivots!A111</f>
        <v>C0011</v>
      </c>
      <c r="Q25" s="32">
        <f>Pivots!B111</f>
        <v>1163</v>
      </c>
      <c r="R25" s="32">
        <f>Pivots!C111</f>
        <v>1180</v>
      </c>
      <c r="S25" s="32">
        <f>Pivots!D111</f>
        <v>1616</v>
      </c>
      <c r="T25" s="32">
        <f>Pivots!E111</f>
        <v>1043</v>
      </c>
      <c r="U25" s="32">
        <f>Pivots!F111</f>
        <v>1747</v>
      </c>
      <c r="V25" s="32">
        <f>Pivots!G111</f>
        <v>6749</v>
      </c>
      <c r="W25" s="20"/>
      <c r="X25" s="20"/>
      <c r="Y25" s="20"/>
      <c r="Z25" s="20"/>
      <c r="AA25" s="20"/>
      <c r="AB25" s="20"/>
      <c r="AC25" s="20"/>
      <c r="AD25" s="20"/>
      <c r="AE25" s="20"/>
      <c r="AF25" s="20"/>
      <c r="AG25" s="20"/>
      <c r="AH25" s="20"/>
      <c r="AI25" s="20"/>
      <c r="AJ25" s="20"/>
      <c r="AK25" s="20"/>
      <c r="AL25" s="20"/>
      <c r="AM25" s="20"/>
      <c r="AN25" s="20"/>
      <c r="AO25" s="20"/>
    </row>
    <row r="26" spans="1:41" x14ac:dyDescent="0.35">
      <c r="A26" s="20"/>
      <c r="B26" s="20"/>
      <c r="C26" s="20"/>
      <c r="D26" s="20"/>
      <c r="E26" s="20"/>
      <c r="F26" s="20"/>
      <c r="G26" s="20"/>
      <c r="H26" s="20"/>
      <c r="I26" s="20"/>
      <c r="J26" s="20"/>
      <c r="K26" s="20"/>
      <c r="L26" s="20"/>
      <c r="M26" s="20"/>
      <c r="N26" s="20"/>
      <c r="O26" s="20"/>
      <c r="P26" s="31" t="str">
        <f>Pivots!A112</f>
        <v>C0012</v>
      </c>
      <c r="Q26" s="32">
        <f>Pivots!B112</f>
        <v>1438</v>
      </c>
      <c r="R26" s="32">
        <f>Pivots!C112</f>
        <v>1616</v>
      </c>
      <c r="S26" s="32">
        <f>Pivots!D112</f>
        <v>866</v>
      </c>
      <c r="T26" s="32">
        <f>Pivots!E112</f>
        <v>829</v>
      </c>
      <c r="U26" s="32">
        <f>Pivots!F112</f>
        <v>2070</v>
      </c>
      <c r="V26" s="32">
        <f>Pivots!G112</f>
        <v>6819</v>
      </c>
      <c r="W26" s="20"/>
      <c r="X26" s="20"/>
      <c r="Y26" s="20"/>
      <c r="Z26" s="20"/>
      <c r="AA26" s="20"/>
      <c r="AB26" s="20"/>
      <c r="AC26" s="20"/>
      <c r="AD26" s="20"/>
      <c r="AE26" s="20"/>
      <c r="AF26" s="20"/>
      <c r="AG26" s="20"/>
      <c r="AH26" s="20"/>
      <c r="AI26" s="20"/>
      <c r="AJ26" s="20"/>
      <c r="AK26" s="20"/>
      <c r="AL26" s="20"/>
      <c r="AM26" s="20"/>
      <c r="AN26" s="20"/>
      <c r="AO26" s="20"/>
    </row>
    <row r="27" spans="1:41" x14ac:dyDescent="0.35">
      <c r="A27" s="20"/>
      <c r="B27" s="20"/>
      <c r="C27" s="20"/>
      <c r="D27" s="20"/>
      <c r="E27" s="20"/>
      <c r="F27" s="20"/>
      <c r="G27" s="20"/>
      <c r="H27" s="20"/>
      <c r="I27" s="20"/>
      <c r="J27" s="20"/>
      <c r="K27" s="20"/>
      <c r="L27" s="20"/>
      <c r="M27" s="20"/>
      <c r="N27" s="20"/>
      <c r="O27" s="20"/>
      <c r="P27" s="33" t="str">
        <f>Pivots!A113</f>
        <v>Cleveland</v>
      </c>
      <c r="Q27" s="32"/>
      <c r="R27" s="32"/>
      <c r="S27" s="32"/>
      <c r="T27" s="32"/>
      <c r="U27" s="32"/>
      <c r="V27" s="32"/>
      <c r="W27" s="20"/>
      <c r="X27" s="20"/>
      <c r="Y27" s="20"/>
      <c r="Z27" s="20"/>
      <c r="AA27" s="20"/>
      <c r="AB27" s="20"/>
      <c r="AC27" s="20"/>
      <c r="AD27" s="20"/>
      <c r="AE27" s="20"/>
      <c r="AF27" s="20"/>
      <c r="AG27" s="20"/>
      <c r="AH27" s="20"/>
      <c r="AI27" s="20"/>
      <c r="AJ27" s="20"/>
      <c r="AK27" s="20"/>
      <c r="AL27" s="20"/>
      <c r="AM27" s="20"/>
      <c r="AN27" s="20"/>
      <c r="AO27" s="20"/>
    </row>
    <row r="28" spans="1:41" x14ac:dyDescent="0.35">
      <c r="A28" s="20"/>
      <c r="B28" s="20"/>
      <c r="C28" s="20"/>
      <c r="D28" s="20"/>
      <c r="E28" s="20"/>
      <c r="F28" s="20"/>
      <c r="G28" s="20"/>
      <c r="H28" s="20"/>
      <c r="I28" s="20"/>
      <c r="J28" s="20"/>
      <c r="K28" s="20"/>
      <c r="L28" s="20"/>
      <c r="M28" s="20"/>
      <c r="N28" s="20"/>
      <c r="O28" s="20"/>
      <c r="P28" s="31" t="str">
        <f>Pivots!A114</f>
        <v>C0002</v>
      </c>
      <c r="Q28" s="32">
        <f>Pivots!B114</f>
        <v>1233</v>
      </c>
      <c r="R28" s="32">
        <f>Pivots!C114</f>
        <v>223</v>
      </c>
      <c r="S28" s="32">
        <f>Pivots!D114</f>
        <v>1680</v>
      </c>
      <c r="T28" s="32">
        <f>Pivots!E114</f>
        <v>990</v>
      </c>
      <c r="U28" s="32">
        <f>Pivots!F114</f>
        <v>1508</v>
      </c>
      <c r="V28" s="32">
        <f>Pivots!G114</f>
        <v>5634</v>
      </c>
      <c r="W28" s="20"/>
      <c r="X28" s="20"/>
      <c r="Y28" s="20"/>
      <c r="Z28" s="20"/>
      <c r="AA28" s="20"/>
      <c r="AB28" s="20"/>
      <c r="AC28" s="20"/>
      <c r="AD28" s="20"/>
      <c r="AE28" s="20"/>
      <c r="AF28" s="20"/>
      <c r="AG28" s="20"/>
      <c r="AH28" s="20"/>
      <c r="AI28" s="20"/>
      <c r="AJ28" s="20"/>
      <c r="AK28" s="20"/>
      <c r="AL28" s="20"/>
      <c r="AM28" s="20"/>
      <c r="AN28" s="20"/>
      <c r="AO28" s="20"/>
    </row>
    <row r="29" spans="1:41" x14ac:dyDescent="0.35">
      <c r="A29" s="20"/>
      <c r="B29" s="20"/>
      <c r="C29" s="20"/>
      <c r="D29" s="20"/>
      <c r="E29" s="20"/>
      <c r="F29" s="20"/>
      <c r="G29" s="20"/>
      <c r="H29" s="20"/>
      <c r="I29" s="20"/>
      <c r="J29" s="20"/>
      <c r="K29" s="20"/>
      <c r="L29" s="20"/>
      <c r="M29" s="20"/>
      <c r="N29" s="20"/>
      <c r="O29" s="20"/>
      <c r="P29" s="31" t="str">
        <f>Pivots!A115</f>
        <v>C0007</v>
      </c>
      <c r="Q29" s="32">
        <f>Pivots!B115</f>
        <v>1598</v>
      </c>
      <c r="R29" s="32">
        <f>Pivots!C115</f>
        <v>1907</v>
      </c>
      <c r="S29" s="32">
        <f>Pivots!D115</f>
        <v>869</v>
      </c>
      <c r="T29" s="32">
        <f>Pivots!E115</f>
        <v>1426</v>
      </c>
      <c r="U29" s="32">
        <f>Pivots!F115</f>
        <v>1416</v>
      </c>
      <c r="V29" s="32">
        <f>Pivots!G115</f>
        <v>7216</v>
      </c>
      <c r="W29" s="20"/>
      <c r="X29" s="20"/>
      <c r="Y29" s="20"/>
      <c r="Z29" s="20"/>
      <c r="AA29" s="20"/>
      <c r="AB29" s="20"/>
      <c r="AC29" s="20"/>
      <c r="AD29" s="20"/>
      <c r="AE29" s="20"/>
      <c r="AF29" s="20"/>
      <c r="AG29" s="20"/>
      <c r="AH29" s="20"/>
      <c r="AI29" s="20"/>
      <c r="AJ29" s="20"/>
      <c r="AK29" s="20"/>
      <c r="AL29" s="20"/>
      <c r="AM29" s="20"/>
      <c r="AN29" s="20"/>
      <c r="AO29" s="20"/>
    </row>
    <row r="30" spans="1:41" x14ac:dyDescent="0.35">
      <c r="A30" s="20"/>
      <c r="B30" s="20"/>
      <c r="C30" s="20"/>
      <c r="D30" s="20"/>
      <c r="E30" s="20"/>
      <c r="F30" s="20"/>
      <c r="G30" s="20"/>
      <c r="H30" s="20"/>
      <c r="I30" s="20"/>
      <c r="J30" s="20"/>
      <c r="K30" s="20"/>
      <c r="L30" s="20"/>
      <c r="M30" s="20"/>
      <c r="N30" s="20"/>
      <c r="O30" s="20"/>
      <c r="P30" s="31" t="str">
        <f>Pivots!A116</f>
        <v>C0008</v>
      </c>
      <c r="Q30" s="32">
        <f>Pivots!B116</f>
        <v>900</v>
      </c>
      <c r="R30" s="32">
        <f>Pivots!C116</f>
        <v>1016</v>
      </c>
      <c r="S30" s="32">
        <f>Pivots!D116</f>
        <v>960</v>
      </c>
      <c r="T30" s="32">
        <f>Pivots!E116</f>
        <v>940</v>
      </c>
      <c r="U30" s="32">
        <f>Pivots!F116</f>
        <v>1193</v>
      </c>
      <c r="V30" s="32">
        <f>Pivots!G116</f>
        <v>5009</v>
      </c>
      <c r="W30" s="20"/>
      <c r="X30" s="20"/>
      <c r="Y30" s="20"/>
      <c r="Z30" s="20"/>
      <c r="AA30" s="20"/>
      <c r="AB30" s="20"/>
      <c r="AC30" s="20"/>
      <c r="AD30" s="20"/>
      <c r="AE30" s="20"/>
      <c r="AF30" s="20"/>
      <c r="AG30" s="20"/>
      <c r="AH30" s="20"/>
      <c r="AI30" s="20"/>
      <c r="AJ30" s="20"/>
      <c r="AK30" s="20"/>
      <c r="AL30" s="20"/>
      <c r="AM30" s="20"/>
      <c r="AN30" s="20"/>
      <c r="AO30" s="20"/>
    </row>
    <row r="31" spans="1:41" x14ac:dyDescent="0.35">
      <c r="A31" s="20"/>
      <c r="B31" s="20"/>
      <c r="C31" s="20"/>
      <c r="D31" s="20"/>
      <c r="E31" s="20"/>
      <c r="F31" s="20"/>
      <c r="G31" s="20"/>
      <c r="H31" s="20"/>
      <c r="I31" s="20"/>
      <c r="J31" s="20"/>
      <c r="K31" s="20"/>
      <c r="L31" s="20"/>
      <c r="M31" s="20"/>
      <c r="N31" s="20"/>
      <c r="O31" s="20"/>
      <c r="P31" s="31" t="str">
        <f>Pivots!A117</f>
        <v>C0010</v>
      </c>
      <c r="Q31" s="32">
        <f>Pivots!B117</f>
        <v>900</v>
      </c>
      <c r="R31" s="32">
        <f>Pivots!C117</f>
        <v>1374</v>
      </c>
      <c r="S31" s="32">
        <f>Pivots!D117</f>
        <v>1617</v>
      </c>
      <c r="T31" s="32">
        <f>Pivots!E117</f>
        <v>1314</v>
      </c>
      <c r="U31" s="32">
        <f>Pivots!F117</f>
        <v>941</v>
      </c>
      <c r="V31" s="32">
        <f>Pivots!G117</f>
        <v>6146</v>
      </c>
      <c r="W31" s="20"/>
      <c r="X31" s="20"/>
      <c r="Y31" s="20"/>
      <c r="Z31" s="20"/>
      <c r="AA31" s="20"/>
      <c r="AB31" s="20"/>
      <c r="AC31" s="20"/>
      <c r="AD31" s="20"/>
      <c r="AE31" s="20"/>
      <c r="AF31" s="20"/>
      <c r="AG31" s="20"/>
      <c r="AH31" s="20"/>
      <c r="AI31" s="20"/>
      <c r="AJ31" s="20"/>
      <c r="AK31" s="20"/>
      <c r="AL31" s="20"/>
      <c r="AM31" s="20"/>
      <c r="AN31" s="20"/>
      <c r="AO31" s="20"/>
    </row>
    <row r="32" spans="1:41" x14ac:dyDescent="0.35">
      <c r="A32" s="20"/>
      <c r="B32" s="20"/>
      <c r="C32" s="20"/>
      <c r="D32" s="20"/>
      <c r="E32" s="20"/>
      <c r="F32" s="20"/>
      <c r="G32" s="20"/>
      <c r="H32" s="20"/>
      <c r="I32" s="20"/>
      <c r="J32" s="20"/>
      <c r="K32" s="20"/>
      <c r="L32" s="20"/>
      <c r="M32" s="20"/>
      <c r="N32" s="20"/>
      <c r="O32" s="20"/>
      <c r="P32" s="31" t="str">
        <f>Pivots!A118</f>
        <v>C0013</v>
      </c>
      <c r="Q32" s="32">
        <f>Pivots!B118</f>
        <v>1255</v>
      </c>
      <c r="R32" s="32">
        <f>Pivots!C118</f>
        <v>516</v>
      </c>
      <c r="S32" s="32">
        <f>Pivots!D118</f>
        <v>1874</v>
      </c>
      <c r="T32" s="32">
        <f>Pivots!E118</f>
        <v>1863</v>
      </c>
      <c r="U32" s="32">
        <f>Pivots!F118</f>
        <v>1722</v>
      </c>
      <c r="V32" s="32">
        <f>Pivots!G118</f>
        <v>7230</v>
      </c>
      <c r="W32" s="20"/>
      <c r="X32" s="20"/>
      <c r="Y32" s="20"/>
      <c r="Z32" s="20"/>
      <c r="AA32" s="20"/>
      <c r="AB32" s="20"/>
      <c r="AC32" s="20"/>
      <c r="AD32" s="20"/>
      <c r="AE32" s="20"/>
      <c r="AF32" s="20"/>
      <c r="AG32" s="20"/>
      <c r="AH32" s="20"/>
      <c r="AI32" s="20"/>
      <c r="AJ32" s="20"/>
      <c r="AK32" s="20"/>
      <c r="AL32" s="20"/>
      <c r="AM32" s="20"/>
      <c r="AN32" s="20"/>
      <c r="AO32" s="20"/>
    </row>
    <row r="33" spans="1:41" x14ac:dyDescent="0.35">
      <c r="A33" s="20"/>
      <c r="B33" s="20"/>
      <c r="C33" s="20"/>
      <c r="D33" s="20"/>
      <c r="E33" s="20"/>
      <c r="F33" s="20"/>
      <c r="G33" s="20"/>
      <c r="H33" s="20"/>
      <c r="I33" s="20"/>
      <c r="J33" s="20"/>
      <c r="K33" s="20"/>
      <c r="L33" s="20"/>
      <c r="M33" s="20"/>
      <c r="N33" s="20"/>
      <c r="O33" s="20"/>
      <c r="P33" s="31" t="str">
        <f>Pivots!A119</f>
        <v>C0015</v>
      </c>
      <c r="Q33" s="32">
        <f>Pivots!B119</f>
        <v>1138</v>
      </c>
      <c r="R33" s="32">
        <f>Pivots!C119</f>
        <v>1898</v>
      </c>
      <c r="S33" s="32">
        <f>Pivots!D119</f>
        <v>1482</v>
      </c>
      <c r="T33" s="32">
        <f>Pivots!E119</f>
        <v>846</v>
      </c>
      <c r="U33" s="32">
        <f>Pivots!F119</f>
        <v>1154</v>
      </c>
      <c r="V33" s="32">
        <f>Pivots!G119</f>
        <v>6518</v>
      </c>
      <c r="W33" s="20"/>
      <c r="X33" s="20"/>
      <c r="Y33" s="20"/>
      <c r="Z33" s="20"/>
      <c r="AA33" s="20"/>
      <c r="AB33" s="20"/>
      <c r="AC33" s="20"/>
      <c r="AD33" s="20"/>
      <c r="AE33" s="20"/>
      <c r="AF33" s="20"/>
      <c r="AG33" s="20"/>
      <c r="AH33" s="20"/>
      <c r="AI33" s="20"/>
      <c r="AJ33" s="20"/>
      <c r="AK33" s="20"/>
      <c r="AL33" s="20"/>
      <c r="AM33" s="20"/>
      <c r="AN33" s="20"/>
      <c r="AO33" s="20"/>
    </row>
    <row r="34" spans="1:41" x14ac:dyDescent="0.35">
      <c r="A34" s="20"/>
      <c r="B34" s="20"/>
      <c r="C34" s="20"/>
      <c r="D34" s="20"/>
      <c r="E34" s="20"/>
      <c r="F34" s="20"/>
      <c r="G34" s="20"/>
      <c r="H34" s="20"/>
      <c r="I34" s="20"/>
      <c r="J34" s="20"/>
      <c r="K34" s="20"/>
      <c r="L34" s="20"/>
      <c r="M34" s="20"/>
      <c r="N34" s="20"/>
      <c r="O34" s="20"/>
      <c r="P34" s="33" t="str">
        <f>Pivots!A120</f>
        <v>Columbus</v>
      </c>
      <c r="Q34" s="32"/>
      <c r="R34" s="32"/>
      <c r="S34" s="32"/>
      <c r="T34" s="32"/>
      <c r="U34" s="32"/>
      <c r="V34" s="32"/>
      <c r="W34" s="20"/>
      <c r="X34" s="20"/>
      <c r="Y34" s="20"/>
      <c r="Z34" s="20"/>
      <c r="AA34" s="20"/>
      <c r="AB34" s="20"/>
      <c r="AC34" s="20"/>
      <c r="AD34" s="20"/>
      <c r="AE34" s="20"/>
      <c r="AF34" s="20"/>
      <c r="AG34" s="20"/>
      <c r="AH34" s="20"/>
      <c r="AI34" s="20"/>
      <c r="AJ34" s="20"/>
      <c r="AK34" s="20"/>
      <c r="AL34" s="20"/>
      <c r="AM34" s="20"/>
      <c r="AN34" s="20"/>
      <c r="AO34" s="20"/>
    </row>
    <row r="35" spans="1:41" x14ac:dyDescent="0.35">
      <c r="A35" s="20"/>
      <c r="B35" s="20"/>
      <c r="C35" s="20"/>
      <c r="D35" s="20"/>
      <c r="E35" s="20"/>
      <c r="F35" s="20"/>
      <c r="G35" s="20"/>
      <c r="H35" s="20"/>
      <c r="I35" s="20"/>
      <c r="J35" s="20"/>
      <c r="K35" s="20"/>
      <c r="L35" s="20"/>
      <c r="M35" s="20"/>
      <c r="N35" s="20"/>
      <c r="O35" s="20"/>
      <c r="P35" s="31" t="str">
        <f>Pivots!A121</f>
        <v>C0001</v>
      </c>
      <c r="Q35" s="32">
        <f>Pivots!B121</f>
        <v>1655</v>
      </c>
      <c r="R35" s="32">
        <f>Pivots!C121</f>
        <v>805</v>
      </c>
      <c r="S35" s="32">
        <f>Pivots!D121</f>
        <v>2263</v>
      </c>
      <c r="T35" s="32">
        <f>Pivots!E121</f>
        <v>987</v>
      </c>
      <c r="U35" s="32">
        <f>Pivots!F121</f>
        <v>1075</v>
      </c>
      <c r="V35" s="32">
        <f>Pivots!G121</f>
        <v>6785</v>
      </c>
      <c r="W35" s="20"/>
      <c r="X35" s="20"/>
      <c r="Y35" s="20"/>
      <c r="Z35" s="20"/>
      <c r="AA35" s="20"/>
      <c r="AB35" s="20"/>
      <c r="AC35" s="20"/>
      <c r="AD35" s="20"/>
      <c r="AE35" s="20"/>
      <c r="AF35" s="20"/>
      <c r="AG35" s="20"/>
      <c r="AH35" s="20"/>
      <c r="AI35" s="20"/>
      <c r="AJ35" s="20"/>
      <c r="AK35" s="20"/>
      <c r="AL35" s="20"/>
      <c r="AM35" s="20"/>
      <c r="AN35" s="20"/>
      <c r="AO35" s="20"/>
    </row>
    <row r="36" spans="1:41" x14ac:dyDescent="0.35">
      <c r="A36" s="20"/>
      <c r="B36" s="20"/>
      <c r="C36" s="20"/>
      <c r="D36" s="20"/>
      <c r="E36" s="20"/>
      <c r="F36" s="20"/>
      <c r="G36" s="20"/>
      <c r="H36" s="20"/>
      <c r="I36" s="20"/>
      <c r="J36" s="20"/>
      <c r="K36" s="20"/>
      <c r="L36" s="20"/>
      <c r="M36" s="20"/>
      <c r="N36" s="20"/>
      <c r="O36" s="20"/>
      <c r="P36" s="31" t="str">
        <f>Pivots!A122</f>
        <v>C0005</v>
      </c>
      <c r="Q36" s="32">
        <f>Pivots!B122</f>
        <v>1104</v>
      </c>
      <c r="R36" s="32">
        <f>Pivots!C122</f>
        <v>2280</v>
      </c>
      <c r="S36" s="32">
        <f>Pivots!D122</f>
        <v>1445</v>
      </c>
      <c r="T36" s="32">
        <f>Pivots!E122</f>
        <v>1722</v>
      </c>
      <c r="U36" s="32">
        <f>Pivots!F122</f>
        <v>1196</v>
      </c>
      <c r="V36" s="32">
        <f>Pivots!G122</f>
        <v>7747</v>
      </c>
      <c r="W36" s="20"/>
      <c r="X36" s="20"/>
      <c r="Y36" s="20"/>
      <c r="Z36" s="20"/>
      <c r="AA36" s="20"/>
      <c r="AB36" s="20"/>
      <c r="AC36" s="20"/>
      <c r="AD36" s="20"/>
      <c r="AE36" s="20"/>
      <c r="AF36" s="20"/>
      <c r="AG36" s="20"/>
      <c r="AH36" s="20"/>
      <c r="AI36" s="20"/>
      <c r="AJ36" s="20"/>
      <c r="AK36" s="20"/>
      <c r="AL36" s="20"/>
      <c r="AM36" s="20"/>
      <c r="AN36" s="20"/>
      <c r="AO36" s="20"/>
    </row>
    <row r="37" spans="1:41" x14ac:dyDescent="0.35">
      <c r="A37" s="20"/>
      <c r="B37" s="20"/>
      <c r="C37" s="20"/>
      <c r="D37" s="20"/>
      <c r="E37" s="20"/>
      <c r="F37" s="20"/>
      <c r="G37" s="20"/>
      <c r="H37" s="20"/>
      <c r="I37" s="20"/>
      <c r="J37" s="20"/>
      <c r="K37" s="20"/>
      <c r="L37" s="20"/>
      <c r="M37" s="20"/>
      <c r="N37" s="20"/>
      <c r="O37" s="20"/>
      <c r="P37" s="31" t="str">
        <f>Pivots!A123</f>
        <v>C0006</v>
      </c>
      <c r="Q37" s="32">
        <f>Pivots!B123</f>
        <v>372</v>
      </c>
      <c r="R37" s="32">
        <f>Pivots!C123</f>
        <v>1818</v>
      </c>
      <c r="S37" s="32">
        <f>Pivots!D123</f>
        <v>1346</v>
      </c>
      <c r="T37" s="32">
        <f>Pivots!E123</f>
        <v>1156</v>
      </c>
      <c r="U37" s="32">
        <f>Pivots!F123</f>
        <v>1484</v>
      </c>
      <c r="V37" s="32">
        <f>Pivots!G123</f>
        <v>6176</v>
      </c>
      <c r="W37" s="20"/>
      <c r="X37" s="20"/>
      <c r="Y37" s="20"/>
      <c r="Z37" s="20"/>
      <c r="AA37" s="20"/>
      <c r="AB37" s="20"/>
      <c r="AC37" s="20"/>
      <c r="AD37" s="20"/>
      <c r="AE37" s="20"/>
      <c r="AF37" s="20"/>
      <c r="AG37" s="20"/>
      <c r="AH37" s="20"/>
      <c r="AI37" s="20"/>
      <c r="AJ37" s="20"/>
      <c r="AK37" s="20"/>
      <c r="AL37" s="20"/>
      <c r="AM37" s="20"/>
      <c r="AN37" s="20"/>
      <c r="AO37" s="20"/>
    </row>
    <row r="38" spans="1:41" x14ac:dyDescent="0.35">
      <c r="A38" s="20"/>
      <c r="B38" s="20"/>
      <c r="C38" s="20"/>
      <c r="D38" s="20"/>
      <c r="E38" s="20"/>
      <c r="F38" s="20"/>
      <c r="G38" s="20"/>
      <c r="H38" s="20"/>
      <c r="I38" s="20"/>
      <c r="J38" s="20"/>
      <c r="K38" s="20"/>
      <c r="L38" s="20"/>
      <c r="M38" s="20"/>
      <c r="N38" s="20"/>
      <c r="O38" s="20"/>
      <c r="P38" s="31" t="str">
        <f>Pivots!A124</f>
        <v>C0009</v>
      </c>
      <c r="Q38" s="32">
        <f>Pivots!B124</f>
        <v>1415</v>
      </c>
      <c r="R38" s="32">
        <f>Pivots!C124</f>
        <v>1271</v>
      </c>
      <c r="S38" s="32">
        <f>Pivots!D124</f>
        <v>1214</v>
      </c>
      <c r="T38" s="32">
        <f>Pivots!E124</f>
        <v>1135</v>
      </c>
      <c r="U38" s="32">
        <f>Pivots!F124</f>
        <v>1566</v>
      </c>
      <c r="V38" s="32">
        <f>Pivots!G124</f>
        <v>6601</v>
      </c>
      <c r="W38" s="20"/>
      <c r="X38" s="20"/>
      <c r="Y38" s="20"/>
      <c r="Z38" s="20"/>
      <c r="AA38" s="20"/>
      <c r="AB38" s="20"/>
      <c r="AC38" s="20"/>
      <c r="AD38" s="20"/>
      <c r="AE38" s="20"/>
      <c r="AF38" s="20"/>
      <c r="AG38" s="20"/>
      <c r="AH38" s="20"/>
      <c r="AI38" s="20"/>
      <c r="AJ38" s="20"/>
      <c r="AK38" s="20"/>
      <c r="AL38" s="20"/>
      <c r="AM38" s="20"/>
      <c r="AN38" s="20"/>
      <c r="AO38" s="20"/>
    </row>
    <row r="39" spans="1:41" x14ac:dyDescent="0.35">
      <c r="A39" s="20"/>
      <c r="B39" s="20"/>
      <c r="C39" s="20"/>
      <c r="D39" s="20"/>
      <c r="E39" s="20"/>
      <c r="F39" s="20"/>
      <c r="G39" s="20"/>
      <c r="H39" s="20"/>
      <c r="I39" s="20"/>
      <c r="J39" s="20"/>
      <c r="K39" s="20"/>
      <c r="L39" s="20"/>
      <c r="M39" s="20"/>
      <c r="N39" s="20"/>
      <c r="O39" s="20"/>
      <c r="P39" s="31" t="str">
        <f>Pivots!A125</f>
        <v>C0014</v>
      </c>
      <c r="Q39" s="32">
        <f>Pivots!B125</f>
        <v>1362</v>
      </c>
      <c r="R39" s="32">
        <f>Pivots!C125</f>
        <v>1363</v>
      </c>
      <c r="S39" s="32">
        <f>Pivots!D125</f>
        <v>1152</v>
      </c>
      <c r="T39" s="32">
        <f>Pivots!E125</f>
        <v>777</v>
      </c>
      <c r="U39" s="32">
        <f>Pivots!F125</f>
        <v>750</v>
      </c>
      <c r="V39" s="32">
        <f>Pivots!G125</f>
        <v>5404</v>
      </c>
      <c r="W39" s="20"/>
      <c r="X39" s="20"/>
      <c r="Y39" s="20"/>
      <c r="Z39" s="20"/>
      <c r="AA39" s="20"/>
      <c r="AB39" s="20"/>
      <c r="AC39" s="20"/>
      <c r="AD39" s="20"/>
      <c r="AE39" s="20"/>
      <c r="AF39" s="20"/>
      <c r="AG39" s="20"/>
      <c r="AH39" s="20"/>
      <c r="AI39" s="20"/>
      <c r="AJ39" s="20"/>
      <c r="AK39" s="20"/>
      <c r="AL39" s="20"/>
      <c r="AM39" s="20"/>
      <c r="AN39" s="20"/>
      <c r="AO39" s="20"/>
    </row>
    <row r="40" spans="1:41" x14ac:dyDescent="0.3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row>
    <row r="41" spans="1:41" x14ac:dyDescent="0.3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t="s">
        <v>1040</v>
      </c>
      <c r="AC41" s="20"/>
      <c r="AD41" s="20"/>
      <c r="AE41" s="20"/>
      <c r="AF41" s="20"/>
      <c r="AG41" s="20"/>
      <c r="AH41" s="20"/>
      <c r="AI41" s="20"/>
      <c r="AJ41" s="20"/>
      <c r="AK41" s="20"/>
      <c r="AL41" s="20"/>
      <c r="AM41" s="20"/>
      <c r="AN41" s="20"/>
      <c r="AO41" s="20"/>
    </row>
    <row r="42" spans="1:41" x14ac:dyDescent="0.3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row>
    <row r="43" spans="1:41" x14ac:dyDescent="0.3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row>
    <row r="44" spans="1:41" x14ac:dyDescent="0.3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row>
    <row r="45" spans="1:41" x14ac:dyDescent="0.3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row>
    <row r="46" spans="1:41" x14ac:dyDescent="0.35">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row>
    <row r="47" spans="1:41" x14ac:dyDescent="0.35">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row>
    <row r="48" spans="1:41" x14ac:dyDescent="0.35">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row>
    <row r="49" spans="1:41" x14ac:dyDescent="0.35">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row>
    <row r="50" spans="1:41" x14ac:dyDescent="0.35">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row>
    <row r="51" spans="1:41" x14ac:dyDescent="0.35">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row>
    <row r="52" spans="1:41" x14ac:dyDescent="0.35">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row>
    <row r="53" spans="1:41" x14ac:dyDescent="0.35">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row>
    <row r="54" spans="1:41" x14ac:dyDescent="0.35">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row>
    <row r="55" spans="1:41" x14ac:dyDescent="0.3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row>
    <row r="56" spans="1:41" x14ac:dyDescent="0.35">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row>
    <row r="57" spans="1:41" x14ac:dyDescent="0.35">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row>
    <row r="58" spans="1:41" x14ac:dyDescent="0.35">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row>
    <row r="59" spans="1:41" x14ac:dyDescent="0.35">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row>
    <row r="60" spans="1:41" x14ac:dyDescent="0.35">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row>
    <row r="61" spans="1:41" x14ac:dyDescent="0.35">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row>
    <row r="62" spans="1:41" x14ac:dyDescent="0.35">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row>
    <row r="63" spans="1:41" x14ac:dyDescent="0.35">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row>
    <row r="64" spans="1:41" x14ac:dyDescent="0.35">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row>
    <row r="65" spans="1:41" x14ac:dyDescent="0.3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row>
    <row r="66" spans="1:41" x14ac:dyDescent="0.35">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row>
    <row r="67" spans="1:41" x14ac:dyDescent="0.35">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row>
    <row r="68" spans="1:41" x14ac:dyDescent="0.35">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row>
    <row r="69" spans="1:41" x14ac:dyDescent="0.35">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row>
    <row r="70" spans="1:41" x14ac:dyDescent="0.35">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row>
    <row r="71" spans="1:41" x14ac:dyDescent="0.35">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row>
    <row r="72" spans="1:41" x14ac:dyDescent="0.35">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row>
    <row r="73" spans="1:41" x14ac:dyDescent="0.35">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row>
    <row r="74" spans="1:41" x14ac:dyDescent="0.35">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row>
    <row r="75" spans="1:41" x14ac:dyDescent="0.3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row>
    <row r="76" spans="1:41" x14ac:dyDescent="0.35">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row>
    <row r="77" spans="1:41" x14ac:dyDescent="0.35">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row>
    <row r="78" spans="1:41" x14ac:dyDescent="0.35">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row>
    <row r="79" spans="1:41" x14ac:dyDescent="0.35">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row>
    <row r="80" spans="1:41" x14ac:dyDescent="0.35">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row>
    <row r="81" spans="1:41" x14ac:dyDescent="0.35">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row>
    <row r="82" spans="1:41" x14ac:dyDescent="0.35">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row>
    <row r="83" spans="1:41" x14ac:dyDescent="0.35">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row>
    <row r="84" spans="1:41" x14ac:dyDescent="0.35">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row>
    <row r="85" spans="1:41" x14ac:dyDescent="0.3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row>
    <row r="86" spans="1:41" x14ac:dyDescent="0.35">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row>
    <row r="87" spans="1:41" x14ac:dyDescent="0.35">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row>
    <row r="88" spans="1:41" x14ac:dyDescent="0.35">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row>
    <row r="89" spans="1:41" x14ac:dyDescent="0.35">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row>
    <row r="90" spans="1:41" x14ac:dyDescent="0.35">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row>
    <row r="91" spans="1:41" x14ac:dyDescent="0.35">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row>
    <row r="92" spans="1:41" x14ac:dyDescent="0.35">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row>
    <row r="93" spans="1:41" x14ac:dyDescent="0.35">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row>
    <row r="94" spans="1:41" x14ac:dyDescent="0.35">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row>
    <row r="95" spans="1:41" x14ac:dyDescent="0.3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row>
    <row r="96" spans="1:41" x14ac:dyDescent="0.35">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row>
    <row r="97" spans="1:41" x14ac:dyDescent="0.35">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row>
    <row r="98" spans="1:41" x14ac:dyDescent="0.35">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row>
    <row r="99" spans="1:41" x14ac:dyDescent="0.35">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row>
    <row r="100" spans="1:41" x14ac:dyDescent="0.35">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row>
    <row r="101" spans="1:41" x14ac:dyDescent="0.35">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row>
    <row r="102" spans="1:41" x14ac:dyDescent="0.35">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row>
    <row r="103" spans="1:41" x14ac:dyDescent="0.35">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row>
    <row r="104" spans="1:41" x14ac:dyDescent="0.35">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row>
    <row r="105" spans="1:41" x14ac:dyDescent="0.3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row>
    <row r="106" spans="1:41" x14ac:dyDescent="0.35">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row>
    <row r="107" spans="1:41" x14ac:dyDescent="0.35">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row>
    <row r="108" spans="1:41" x14ac:dyDescent="0.35">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row>
    <row r="109" spans="1:41" x14ac:dyDescent="0.35">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row>
    <row r="110" spans="1:41" x14ac:dyDescent="0.35">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row>
    <row r="111" spans="1:41" x14ac:dyDescent="0.3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row>
    <row r="112" spans="1:41" x14ac:dyDescent="0.3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row>
    <row r="113" spans="1:41" x14ac:dyDescent="0.3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row>
    <row r="114" spans="1:41" x14ac:dyDescent="0.3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row>
    <row r="115" spans="1:41" x14ac:dyDescent="0.3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row>
    <row r="116" spans="1:41" x14ac:dyDescent="0.3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row>
    <row r="117" spans="1:41" x14ac:dyDescent="0.3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row>
    <row r="118" spans="1:41" x14ac:dyDescent="0.3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row>
    <row r="119" spans="1:41" x14ac:dyDescent="0.3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row>
    <row r="120" spans="1:41" x14ac:dyDescent="0.3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row>
    <row r="121" spans="1:41" x14ac:dyDescent="0.3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row>
    <row r="122" spans="1:41" x14ac:dyDescent="0.3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row>
    <row r="123" spans="1:41" x14ac:dyDescent="0.3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row>
    <row r="124" spans="1:41" x14ac:dyDescent="0.3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row>
    <row r="125" spans="1:41" x14ac:dyDescent="0.3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row>
    <row r="126" spans="1:41" x14ac:dyDescent="0.3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row>
    <row r="127" spans="1:41" x14ac:dyDescent="0.3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row>
    <row r="128" spans="1:41" x14ac:dyDescent="0.3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row>
    <row r="129" spans="1:41" x14ac:dyDescent="0.3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row>
    <row r="130" spans="1:41" x14ac:dyDescent="0.3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row>
    <row r="131" spans="1:41" x14ac:dyDescent="0.3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row>
    <row r="132" spans="1:41" x14ac:dyDescent="0.3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row>
    <row r="133" spans="1:41" x14ac:dyDescent="0.3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row>
    <row r="134" spans="1:41" x14ac:dyDescent="0.3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row>
    <row r="135" spans="1:41" x14ac:dyDescent="0.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row>
    <row r="136" spans="1:41" x14ac:dyDescent="0.3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row>
    <row r="137" spans="1:41" x14ac:dyDescent="0.3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row>
    <row r="138" spans="1:41" x14ac:dyDescent="0.3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row>
    <row r="139" spans="1:41" x14ac:dyDescent="0.3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row>
    <row r="140" spans="1:41" x14ac:dyDescent="0.3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row>
    <row r="141" spans="1:41" x14ac:dyDescent="0.3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row>
    <row r="142" spans="1:41" x14ac:dyDescent="0.3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row>
    <row r="143" spans="1:41" x14ac:dyDescent="0.3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row>
    <row r="144" spans="1:41" x14ac:dyDescent="0.3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row>
    <row r="145" spans="1:41" x14ac:dyDescent="0.3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row>
    <row r="146" spans="1:41" x14ac:dyDescent="0.3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row>
    <row r="147" spans="1:41" x14ac:dyDescent="0.3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row>
    <row r="148" spans="1:41" x14ac:dyDescent="0.3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row>
    <row r="149" spans="1:41" x14ac:dyDescent="0.3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row>
    <row r="150" spans="1:41" x14ac:dyDescent="0.3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row>
    <row r="151" spans="1:41" x14ac:dyDescent="0.3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row>
    <row r="152" spans="1:41" x14ac:dyDescent="0.3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row>
    <row r="153" spans="1:41" x14ac:dyDescent="0.3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row>
    <row r="154" spans="1:41" x14ac:dyDescent="0.3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row>
    <row r="155" spans="1:41" x14ac:dyDescent="0.3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row>
    <row r="156" spans="1:41" x14ac:dyDescent="0.3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row>
    <row r="157" spans="1:41" x14ac:dyDescent="0.3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row>
    <row r="158" spans="1:41" x14ac:dyDescent="0.3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row>
    <row r="159" spans="1:41" x14ac:dyDescent="0.3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row>
    <row r="160" spans="1:41" x14ac:dyDescent="0.3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row>
    <row r="161" spans="1:41" x14ac:dyDescent="0.3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row>
    <row r="162" spans="1:41" x14ac:dyDescent="0.3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row>
    <row r="163" spans="1:41" x14ac:dyDescent="0.3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row>
    <row r="164" spans="1:41" x14ac:dyDescent="0.3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row>
    <row r="165" spans="1:41" x14ac:dyDescent="0.3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row>
    <row r="166" spans="1:41" x14ac:dyDescent="0.3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row>
    <row r="167" spans="1:41" x14ac:dyDescent="0.3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row>
    <row r="168" spans="1:41" x14ac:dyDescent="0.3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row>
    <row r="169" spans="1:41" x14ac:dyDescent="0.3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row>
    <row r="170" spans="1:41" x14ac:dyDescent="0.3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row>
    <row r="171" spans="1:41" x14ac:dyDescent="0.3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row>
    <row r="172" spans="1:41" x14ac:dyDescent="0.3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row>
    <row r="173" spans="1:41" x14ac:dyDescent="0.3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row>
    <row r="174" spans="1:41" x14ac:dyDescent="0.3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row>
    <row r="175" spans="1:41" x14ac:dyDescent="0.3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row>
    <row r="176" spans="1:41" x14ac:dyDescent="0.3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row>
    <row r="177" spans="1:41" x14ac:dyDescent="0.3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row>
    <row r="178" spans="1:41" x14ac:dyDescent="0.3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row>
    <row r="179" spans="1:41" x14ac:dyDescent="0.3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row>
    <row r="180" spans="1:41" x14ac:dyDescent="0.3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row>
    <row r="181" spans="1:41" x14ac:dyDescent="0.3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row>
    <row r="182" spans="1:41" x14ac:dyDescent="0.3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row>
    <row r="183" spans="1:41" x14ac:dyDescent="0.3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row>
    <row r="184" spans="1:41" x14ac:dyDescent="0.3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row>
    <row r="185" spans="1:41" x14ac:dyDescent="0.3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row>
    <row r="186" spans="1:41" x14ac:dyDescent="0.3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row>
    <row r="187" spans="1:41" x14ac:dyDescent="0.3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row>
    <row r="188" spans="1:41" x14ac:dyDescent="0.3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row>
    <row r="189" spans="1:41" x14ac:dyDescent="0.3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row>
    <row r="190" spans="1:41" x14ac:dyDescent="0.3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row>
    <row r="191" spans="1:41" x14ac:dyDescent="0.3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row>
    <row r="192" spans="1:41" x14ac:dyDescent="0.3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row>
    <row r="193" spans="1:41" x14ac:dyDescent="0.3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row>
    <row r="194" spans="1:41" x14ac:dyDescent="0.3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row>
    <row r="195" spans="1:41" x14ac:dyDescent="0.3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row>
    <row r="196" spans="1:41" x14ac:dyDescent="0.3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row>
    <row r="197" spans="1:41" x14ac:dyDescent="0.3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row>
    <row r="198" spans="1:41" x14ac:dyDescent="0.3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row>
    <row r="199" spans="1:41" x14ac:dyDescent="0.3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row>
    <row r="200" spans="1:41" x14ac:dyDescent="0.3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row>
    <row r="201" spans="1:41" x14ac:dyDescent="0.3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row>
    <row r="202" spans="1:41" x14ac:dyDescent="0.3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row>
    <row r="203" spans="1:41" x14ac:dyDescent="0.3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row>
    <row r="204" spans="1:41" x14ac:dyDescent="0.3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row>
    <row r="205" spans="1:41" x14ac:dyDescent="0.3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row>
    <row r="206" spans="1:41" x14ac:dyDescent="0.3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row>
    <row r="207" spans="1:41" x14ac:dyDescent="0.3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row>
    <row r="208" spans="1:41" x14ac:dyDescent="0.3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row>
    <row r="209" spans="1:41" x14ac:dyDescent="0.3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row>
    <row r="210" spans="1:41" x14ac:dyDescent="0.3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row>
    <row r="211" spans="1:41" x14ac:dyDescent="0.3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row>
    <row r="212" spans="1:41" x14ac:dyDescent="0.3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row>
    <row r="213" spans="1:41" x14ac:dyDescent="0.3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row>
    <row r="214" spans="1:41" x14ac:dyDescent="0.3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row>
    <row r="215" spans="1:41" x14ac:dyDescent="0.3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row>
    <row r="216" spans="1:41" x14ac:dyDescent="0.3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row>
    <row r="217" spans="1:41" x14ac:dyDescent="0.3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row>
    <row r="218" spans="1:41" x14ac:dyDescent="0.3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row>
    <row r="219" spans="1:41" x14ac:dyDescent="0.3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row>
    <row r="220" spans="1:41" x14ac:dyDescent="0.3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41" x14ac:dyDescent="0.3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41" x14ac:dyDescent="0.3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41" x14ac:dyDescent="0.3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41" x14ac:dyDescent="0.3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x14ac:dyDescent="0.3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x14ac:dyDescent="0.3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x14ac:dyDescent="0.3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sheetData>
  <phoneticPr fontId="2" type="noConversion"/>
  <conditionalFormatting sqref="Q21:U39">
    <cfRule type="expression" dxfId="0" priority="1">
      <formula>$Q$21=$A$70</formula>
    </cfRule>
  </conditionalFormatting>
  <conditionalFormatting sqref="Q22:U39">
    <cfRule type="dataBar" priority="2">
      <dataBar>
        <cfvo type="num" val="0"/>
        <cfvo type="formula" val="MAX($Q$22:$U$39)*2"/>
        <color theme="1"/>
      </dataBar>
      <extLst>
        <ext xmlns:x14="http://schemas.microsoft.com/office/spreadsheetml/2009/9/main" uri="{B025F937-C7B1-47D3-B67F-A62EFF666E3E}">
          <x14:id>{8E284158-0B9D-4A55-812F-F192A27AC9D8}</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8E284158-0B9D-4A55-812F-F192A27AC9D8}">
            <x14:dataBar minLength="0" maxLength="100" gradient="0">
              <x14:cfvo type="num">
                <xm:f>0</xm:f>
              </x14:cfvo>
              <x14:cfvo type="formula">
                <xm:f>MAX($Q$22:$U$39)*2</xm:f>
              </x14:cfvo>
              <x14:negativeFillColor rgb="FFFF0000"/>
              <x14:axisColor rgb="FF000000"/>
            </x14:dataBar>
          </x14:cfRule>
          <xm:sqref>Q22:U39</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3:A7"/>
  <sheetViews>
    <sheetView zoomScale="115" zoomScaleNormal="115" workbookViewId="0">
      <selection activeCell="C6" sqref="C6"/>
    </sheetView>
  </sheetViews>
  <sheetFormatPr defaultRowHeight="14.5" x14ac:dyDescent="0.35"/>
  <cols>
    <col min="5" max="5" width="10.83203125" customWidth="1"/>
    <col min="6" max="6" width="9.83203125" customWidth="1"/>
  </cols>
  <sheetData>
    <row r="3" ht="25.5" customHeight="1" x14ac:dyDescent="0.35"/>
    <row r="4" ht="25.5" customHeight="1" x14ac:dyDescent="0.35"/>
    <row r="5" ht="25.5" customHeight="1" x14ac:dyDescent="0.35"/>
    <row r="6" ht="25.5" customHeight="1" x14ac:dyDescent="0.35"/>
    <row r="7" ht="25.5" customHeight="1"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Pivots</vt:lpstr>
      <vt:lpstr>Data</vt:lpstr>
      <vt:lpstr>Customer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g siri</cp:lastModifiedBy>
  <dcterms:created xsi:type="dcterms:W3CDTF">2021-03-14T20:21:32Z</dcterms:created>
  <dcterms:modified xsi:type="dcterms:W3CDTF">2026-06-26T14:47:42Z</dcterms:modified>
</cp:coreProperties>
</file>